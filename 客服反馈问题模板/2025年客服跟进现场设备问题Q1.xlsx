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tabRatio="584" activeTab="1"/>
  </bookViews>
  <sheets>
    <sheet name="客服现场跟进设备问题分析" sheetId="1" r:id="rId1"/>
    <sheet name="汇总" sheetId="4" r:id="rId2"/>
    <sheet name="客户" sheetId="6" r:id="rId3"/>
    <sheet name="采购" sheetId="7" r:id="rId4"/>
    <sheet name="生产" sheetId="8" r:id="rId5"/>
    <sheet name="电气" sheetId="10" r:id="rId6"/>
    <sheet name="测试" sheetId="11" r:id="rId7"/>
    <sheet name="机械" sheetId="12" r:id="rId8"/>
    <sheet name="研发" sheetId="15" r:id="rId9"/>
    <sheet name="销售" sheetId="16" r:id="rId10"/>
    <sheet name="PMC" sheetId="17" r:id="rId11"/>
  </sheets>
  <definedNames>
    <definedName name="_xlnm._FilterDatabase" localSheetId="0" hidden="1">客服现场跟进设备问题分析!$A$2:$W$94</definedName>
    <definedName name="_xlnm._FilterDatabase" localSheetId="8" hidden="1">研发!$A$2:$S$96</definedName>
    <definedName name="_xlnm._FilterDatabase" localSheetId="4" hidden="1">生产!$A$2:$S$38</definedName>
    <definedName name="_xlnm._FilterDatabase" localSheetId="5" hidden="1">电气!$A$2:$S$43</definedName>
    <definedName name="_xlnm._FilterDatabase" localSheetId="6" hidden="1">测试!$A$2:$S$64</definedName>
    <definedName name="_xlnm._FilterDatabase" localSheetId="7" hidden="1">机械!$A$2:$S$144</definedName>
    <definedName name="_xlnm._FilterDatabase" localSheetId="2" hidden="1">客户!$A$2:$S$7</definedName>
    <definedName name="_xlnm._FilterDatabase" localSheetId="3" hidden="1">采购!$A$2:$S$33</definedName>
    <definedName name="_xlnm._FilterDatabase" localSheetId="9" hidden="1">销售!$A$2:$S$2</definedName>
    <definedName name="_xlnm._FilterDatabase" localSheetId="10" hidden="1">PMC!$A$2:$S$2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G3" authorId="0">
      <text>
        <r>
          <rPr>
            <sz val="9"/>
            <rFont val="宋体"/>
            <charset val="134"/>
          </rPr>
          <t xml:space="preserve">问题点总数/项目量数*100%
</t>
        </r>
      </text>
    </comment>
    <comment ref="H3" authorId="0">
      <text>
        <r>
          <rPr>
            <sz val="9"/>
            <rFont val="宋体"/>
            <charset val="134"/>
          </rPr>
          <t>问题点总数/设备台数*100%</t>
        </r>
      </text>
    </comment>
  </commentList>
</comments>
</file>

<file path=xl/sharedStrings.xml><?xml version="1.0" encoding="utf-8"?>
<sst xmlns="http://schemas.openxmlformats.org/spreadsheetml/2006/main" count="6854" uniqueCount="840">
  <si>
    <t>2025年1月客服跟进现场设备问题分析统计</t>
  </si>
  <si>
    <t>人员</t>
  </si>
  <si>
    <t>设备类型</t>
  </si>
  <si>
    <t>客户名称</t>
  </si>
  <si>
    <t>项目名称/型号</t>
  </si>
  <si>
    <t>项目号</t>
  </si>
  <si>
    <t>数量（套）</t>
  </si>
  <si>
    <t>销售金额（元）</t>
  </si>
  <si>
    <t>下单日期</t>
  </si>
  <si>
    <t>要求交货时间</t>
  </si>
  <si>
    <t>实际交货时间（年）</t>
  </si>
  <si>
    <t>实际交货时间（月）</t>
  </si>
  <si>
    <t>实际交货时间（日）</t>
  </si>
  <si>
    <t>实发数量</t>
  </si>
  <si>
    <t>行业类型</t>
  </si>
  <si>
    <t>现场异常描述</t>
  </si>
  <si>
    <t>处理效果及图片</t>
  </si>
  <si>
    <t>部门归属</t>
  </si>
  <si>
    <t>责任人</t>
  </si>
  <si>
    <t>跟进起始日期（起）</t>
  </si>
  <si>
    <t>跟进起始日期（止）</t>
  </si>
  <si>
    <t>预计完成交付时间</t>
  </si>
  <si>
    <t>实际交付时间</t>
  </si>
  <si>
    <t>未按期交付原因分类</t>
  </si>
  <si>
    <t>王志红</t>
  </si>
  <si>
    <t>单机</t>
  </si>
  <si>
    <t>石岩惠科科列</t>
  </si>
  <si>
    <t>工装成品-通用 BMS系统测试平台</t>
  </si>
  <si>
    <t>PJ231220468</t>
  </si>
  <si>
    <t>2024.3</t>
  </si>
  <si>
    <t>白色家电</t>
  </si>
  <si>
    <t>老化架工装测试插头线端子脱落</t>
  </si>
  <si>
    <t>4层老化架每层约40个测试端子，客户改变了固定式插拔方式、拆卸垂吊后线路约150mm长，上产品插拔会导致部分线头脱落，无法取出压装端子，重新压装端子更换公插头，打AB胶固定线头。</t>
  </si>
  <si>
    <t>生产</t>
  </si>
  <si>
    <t>谢朝良</t>
  </si>
  <si>
    <t>2025.1.12</t>
  </si>
  <si>
    <t>顺德高创运动</t>
  </si>
  <si>
    <t>CDHD-HV老化柜</t>
  </si>
  <si>
    <t>PJ230904308</t>
  </si>
  <si>
    <t>2024.1</t>
  </si>
  <si>
    <t>智能机器人</t>
  </si>
  <si>
    <t>老化柜安装柜门、2号测试位更换固定航空头、保险管的电木板。</t>
  </si>
  <si>
    <t>1、安装柜门并加装24V电源控制；2、更换PLC端子排24V电源；3、更换2号测试位电木板，拆装控制板卡、航空头、保险套装；4、整理区分线路、防止测试过程中线路过于集中发热损坏。</t>
  </si>
  <si>
    <t>生产、研发、机械设计</t>
  </si>
  <si>
    <t>谢朝良、梁柱、张丙波</t>
  </si>
  <si>
    <t>2025.1.13</t>
  </si>
  <si>
    <t>2025.1.14</t>
  </si>
  <si>
    <t>林潇伟</t>
  </si>
  <si>
    <t>TTi</t>
  </si>
  <si>
    <t>PDU智能插座成品功能测试机</t>
  </si>
  <si>
    <t>PJ240409519</t>
  </si>
  <si>
    <t>2024.6</t>
  </si>
  <si>
    <t>新能源</t>
  </si>
  <si>
    <t>设备测试68项较多不良，均为按压出现亮灭双灯现象</t>
  </si>
  <si>
    <t>反馈王永峰变更硬限按压及增加下压气管调压阀</t>
  </si>
  <si>
    <t>测试</t>
  </si>
  <si>
    <t>于振华</t>
  </si>
  <si>
    <t>2025.1.1</t>
  </si>
  <si>
    <t>2025.1.23</t>
  </si>
  <si>
    <t>插仔易断及倒退导致接触不良测试较多NG</t>
  </si>
  <si>
    <t>客供插头品质不行，需从新提供新款插头更换插头固定板，反馈王永峰下单制作</t>
  </si>
  <si>
    <t>采购</t>
  </si>
  <si>
    <t>金希倩</t>
  </si>
  <si>
    <t>充电器成品功率测试机(A 类)</t>
  </si>
  <si>
    <t>PJ231025433</t>
  </si>
  <si>
    <t>设备生产过程中出现无动作不报警异常问题LED光源采集器通讯中断导致</t>
  </si>
  <si>
    <t>设备停产改造光源采集盒线路 1:工控机新增DB9串口板 2:光源采集通讯变更DB9通讯方式 3:光源采集盒供电方式变更12v电源单独供电</t>
  </si>
  <si>
    <t>991116331-成品EOL测试设备(A类)</t>
  </si>
  <si>
    <t>PJ210225089</t>
  </si>
  <si>
    <t>2021.4</t>
  </si>
  <si>
    <t>生产过程中USB测试项NG</t>
  </si>
  <si>
    <t>排查发现USB通讯异常无法读取数据 更换USB通讯线恢复正常生产</t>
  </si>
  <si>
    <t>EOL成品性能测试机</t>
  </si>
  <si>
    <t>PJ240509589</t>
  </si>
  <si>
    <t>设备测试过程中3号工位负载仪掉线频繁</t>
  </si>
  <si>
    <t>更换负载仪方口通讯数据线</t>
  </si>
  <si>
    <t>91116325-离合器装配设备 A类</t>
  </si>
  <si>
    <t>PJ240918792</t>
  </si>
  <si>
    <t>2024.12</t>
  </si>
  <si>
    <t>设备问题点统计 1:装销钉结构过低导致X轴动作受限无法穿越 2:物料盘过于紧凑取放困难 3:取放夹爪无法夹住产品，带起后易偏 4:称重工位旋转气缸有干涉 5:离合器放料气缸行程不足 6:离合器分料顶升结构卡顿</t>
  </si>
  <si>
    <t>客户自行修改图纸变更 程序临时灌入手动调试，待客户修改完程序优化自动程序</t>
  </si>
  <si>
    <t>生产、机械设计</t>
  </si>
  <si>
    <t>方康敬、张丙波</t>
  </si>
  <si>
    <t>991006331-平衡机针模M20-JKB15172定制(F类）</t>
  </si>
  <si>
    <t>PJ241213921</t>
  </si>
  <si>
    <t>针模未组装焊线套管，缺少母头无法快速更换使用</t>
  </si>
  <si>
    <t>寄回公司焊线组装</t>
  </si>
  <si>
    <t>991116331-MX 外壳尺寸测量自动化设备（A类）</t>
  </si>
  <si>
    <t>PJ230823288</t>
  </si>
  <si>
    <t>2023.10.</t>
  </si>
  <si>
    <t>测试NG数据未保存，客户要求新增功能保存</t>
  </si>
  <si>
    <t>反馈PLC同事有人过来处理设备时顺便增加功能</t>
  </si>
  <si>
    <t>电气</t>
  </si>
  <si>
    <t>王俊</t>
  </si>
  <si>
    <t>991112801-成品功能测试装膠粒机</t>
  </si>
  <si>
    <t>PJ220907352</t>
  </si>
  <si>
    <t>改造项目客户要求电脑有无线网上传数据及远程监控功能</t>
  </si>
  <si>
    <t>反馈刘伟采购固定式网卡增加无线网络</t>
  </si>
  <si>
    <t>出料口满料后横移搬运气缸搬运过程中撞出料轴待机产品</t>
  </si>
  <si>
    <t>优化程序出料口满料后横移气缸停止不动作，待取走出料口产品后自动恢复正常动作</t>
  </si>
  <si>
    <t>唐乐兵</t>
  </si>
  <si>
    <t>线体</t>
  </si>
  <si>
    <t>惠州三华</t>
  </si>
  <si>
    <t xml:space="preserve">空调外机电控自动化测试线 </t>
  </si>
  <si>
    <t>PJ231208443</t>
  </si>
  <si>
    <t>倍速链异响</t>
  </si>
  <si>
    <t>倍速链链条松动导致</t>
  </si>
  <si>
    <t>方康敬</t>
  </si>
  <si>
    <t>2025.1.20</t>
  </si>
  <si>
    <t>工位1读取温度值失败</t>
  </si>
  <si>
    <t>探针不回弹 接触不良导致</t>
  </si>
  <si>
    <t>插件工位扫错码不报错</t>
  </si>
  <si>
    <t>扫错码软件不会报错修改后OK</t>
  </si>
  <si>
    <t>插件工位载具走后扫码软件不清零</t>
  </si>
  <si>
    <t>配合伍工远程修改并验证</t>
  </si>
  <si>
    <t>插件工位载具到位后 扫码软件不触发</t>
  </si>
  <si>
    <t xml:space="preserve"> 惠州拓邦</t>
  </si>
  <si>
    <t>TB_成品测试设备</t>
  </si>
  <si>
    <t>PJ240410528</t>
  </si>
  <si>
    <t>2024.5</t>
  </si>
  <si>
    <t>1.配合供应商维修设备，供应商排除发现是PLC坏了 无法控制恒温</t>
  </si>
  <si>
    <t>更换控制PLC</t>
  </si>
  <si>
    <t>梁栋</t>
  </si>
  <si>
    <t>眉山中航</t>
  </si>
  <si>
    <t>IS0测试工站&amp;EOL测试工站</t>
  </si>
  <si>
    <t>PJ241012821</t>
  </si>
  <si>
    <t>iso接线并和大族交互信号，拉来大族一起对接，目前没有条件调试，先把两边要对接的信号，需要接的线全部接好并验证。目前验证下来都OK，只剩到时候测试调好直接可以量产</t>
  </si>
  <si>
    <t>iso接线交互信号，拉来大族一起对接，目前没有条件调试，先把两边要对接的信号，需要接的线全部接好并验证。目前验证下来都OK，只剩到时候测试调好直接可以量产</t>
  </si>
  <si>
    <t>生产、测试</t>
  </si>
  <si>
    <t>谢朝良、于振华</t>
  </si>
  <si>
    <t>2025.1.24</t>
  </si>
  <si>
    <t>eol和测试一起远程调试，持续调试中，进度完成40</t>
  </si>
  <si>
    <t>三台eol并入电阻改线，东西已收到，已改线完成，待生产验证</t>
  </si>
  <si>
    <t>三台eol的低压通讯和高压接线，已经全部完成。待测试</t>
  </si>
  <si>
    <t>有两台机的can卡报警，无法canpro打开，更换ubs端接口。调试ok</t>
  </si>
  <si>
    <t>iso结构一天已调试完，只剩测试部门，预计两天完成</t>
  </si>
  <si>
    <t>预计两天协助测试完成验证</t>
  </si>
  <si>
    <t>胡博勤</t>
  </si>
  <si>
    <t>顺德美的</t>
  </si>
  <si>
    <t>ZD028-外销WIFI自动装配线项目</t>
  </si>
  <si>
    <t>PJ240430577</t>
  </si>
  <si>
    <t>2024..7</t>
  </si>
  <si>
    <t>贴片读码雕刻设备：出现雕刻效果不良重影</t>
  </si>
  <si>
    <t>底壳以及小盖震动盘1楼叉车经过会引起设备镭雕机模组震动</t>
  </si>
  <si>
    <t>机械设计</t>
  </si>
  <si>
    <t>张丙波</t>
  </si>
  <si>
    <t>2025.1.27</t>
  </si>
  <si>
    <t>整机设备安装6个减震脚垫。镭雕机更换性能更强的组件。物料已经下单</t>
  </si>
  <si>
    <t>机械外发、采购</t>
  </si>
  <si>
    <t>张丙波、金希倩</t>
  </si>
  <si>
    <t>扫油机：设备使用一段时间后随机出现有扫油动作，但无油喷出。mrak会漏抓导致漏扫油</t>
  </si>
  <si>
    <t>产品存在高度差，导致成像有问题，容易误报警。</t>
  </si>
  <si>
    <t>需要重做结构以及更换光源模组。</t>
  </si>
  <si>
    <t>重做结构已经光源固定方式。已下单</t>
  </si>
  <si>
    <t>振动盘上料造成批量产品脏污</t>
  </si>
  <si>
    <t>空气洁净度不够 需要增加防尘防护罩子。</t>
  </si>
  <si>
    <t>盘已发回改造 预计12号发往现场。</t>
  </si>
  <si>
    <t>雕刻不良（边缘锯齿状、白痕、重影）</t>
  </si>
  <si>
    <t>激光雕刻时激光头抖动</t>
  </si>
  <si>
    <t>需要安装独立的光源支架。已知会大美下单 预计15号物料发往现场</t>
  </si>
  <si>
    <t>cxd自检功能未添加</t>
  </si>
  <si>
    <t>颜工编写上位机程序vi程序中</t>
  </si>
  <si>
    <t>大码打印错误与小码镭雕错误产品不符问题</t>
  </si>
  <si>
    <t>需要安装独立的摇臂取放二维码标签机构。</t>
  </si>
  <si>
    <t>已经知会下单。预计19号改造完成</t>
  </si>
  <si>
    <t>摇臂取放二维码模组也安装。上位机与plc程序已优化 试产32pcs送检ok</t>
  </si>
  <si>
    <t>徐超</t>
  </si>
  <si>
    <t>西安比亚迪</t>
  </si>
  <si>
    <t>UF在线集成测试设备</t>
  </si>
  <si>
    <t>PJ230926356</t>
  </si>
  <si>
    <t>汽车电子</t>
  </si>
  <si>
    <t>噪音功能测试设备气缸门无动作。</t>
  </si>
  <si>
    <t>拆开设备发现固定气缸钣金件断了，临时焊
接让设备运行。装好以后气缸动作时有时无
排查发现电磁阀线圈接触不良，更换电磁阀
后OK。</t>
  </si>
  <si>
    <t>螺丝机频繁报警，打螺丝滑牙。</t>
  </si>
  <si>
    <t>现在一条线做前后门把手，两个产品螺丝孔
存在0.7MM的差异。重新建立两款配方，生产
哪款产品就用哪个配方。</t>
  </si>
  <si>
    <t>客户</t>
  </si>
  <si>
    <t>西安 旭日东智能装备</t>
  </si>
  <si>
    <t>AOI内观检验设备(2D视觉),AOI内观检验设备(3D视觉),AOI裸机检验设备(2D视觉),AOI纸箱检验</t>
  </si>
  <si>
    <t>PJ240325148</t>
  </si>
  <si>
    <t>2024.11</t>
  </si>
  <si>
    <t>消费类</t>
  </si>
  <si>
    <t>2D.3D测试设备突然和倍速链线体信号交互异常。</t>
  </si>
  <si>
    <t>和旭日东PLC一起排查，发现是他们那边改了
程序。重新对接联机信号逻辑。</t>
  </si>
  <si>
    <t>3D检测频繁检测NG。</t>
  </si>
  <si>
    <t>排查发现固定电机同步轮螺丝松了，电机走位不准导致测试NG。重新紧固螺丝。</t>
  </si>
  <si>
    <t>油箱翻转测试台_非标</t>
  </si>
  <si>
    <t>PJ231018407</t>
  </si>
  <si>
    <t>测试软件初始化异常报错。油箱测试出气压力NG。</t>
  </si>
  <si>
    <t>万用表与电脑连接线松动，导致初始化报错。
排查设备发现两个基恩士压力表坏了，寄回
公司返修。</t>
  </si>
  <si>
    <t>欧阳天华</t>
  </si>
  <si>
    <t>长沙雨花、金霞比亚迪</t>
  </si>
  <si>
    <t>综合测试设备</t>
  </si>
  <si>
    <t>PJ240204075</t>
  </si>
  <si>
    <t>验收 光栅和安全门等防护安全问题整改</t>
  </si>
  <si>
    <t>和plc远程优化程序</t>
  </si>
  <si>
    <t>电气、研发</t>
  </si>
  <si>
    <t>王俊、梁柱</t>
  </si>
  <si>
    <t>安全问题整改，客户反馈电子阀漏气</t>
  </si>
  <si>
    <t>plc已优化完成，电子阀底座排气后一直排气，电子阀和底座接触处需要密封圈</t>
  </si>
  <si>
    <t>梁昭</t>
  </si>
  <si>
    <t>配电箱有一台设备指纹锁无法正常录用，打开门软件需要停止测试</t>
  </si>
  <si>
    <t>开门停止测试已增加，指纹锁还未优化完成</t>
  </si>
  <si>
    <t>按客户要求更新plc动作</t>
  </si>
  <si>
    <t>已更新完成，和客户确认过</t>
  </si>
  <si>
    <t>杜磊</t>
  </si>
  <si>
    <t>长沙雨花比亚迪9号5楼</t>
  </si>
  <si>
    <t xml:space="preserve"> CCM功能测试设备、安规测试设备、内阻功能测试设备</t>
  </si>
  <si>
    <t>PJ240522608</t>
  </si>
  <si>
    <t>2024.8</t>
  </si>
  <si>
    <t>需要优化数据库和mse系统</t>
  </si>
  <si>
    <t>数据库优化完成，mse系统测试环境失败，网址可能被更改需要周一相关人员上班才能沟通处理</t>
  </si>
  <si>
    <t>研发</t>
  </si>
  <si>
    <t>梁柱</t>
  </si>
  <si>
    <t>设备软件优化和ccm温度测不出问题</t>
  </si>
  <si>
    <t>温度测不出是因为低压线束的11-12，13-14脚位需要连接，并中间加个阻值，增加后温度可测过</t>
  </si>
  <si>
    <t>设备软件优化</t>
  </si>
  <si>
    <t>配合上位机远程优化软件</t>
  </si>
  <si>
    <t xml:space="preserve">刘亚强 </t>
  </si>
  <si>
    <t>佛山三水海尔</t>
  </si>
  <si>
    <t>佛山领智自动化线体项目</t>
  </si>
  <si>
    <t xml:space="preserve">PJ231016381 </t>
  </si>
  <si>
    <t>上料轨道不能兼容多款产品，换产时间长</t>
  </si>
  <si>
    <t>更改双向可调轨道</t>
  </si>
  <si>
    <t>张昌望、</t>
  </si>
  <si>
    <t>下料柔性夹爪安装型材太长，跟门有干涉，</t>
  </si>
  <si>
    <t>切掉100mm</t>
  </si>
  <si>
    <t>上料机器人夹料位置不对，有时夹不起来</t>
  </si>
  <si>
    <t>重新校准夹取位置</t>
  </si>
  <si>
    <t>张昌望、金希倩</t>
  </si>
  <si>
    <t>载板上有胶，绒布不好清理，会导致挡条歪斜，绒布变形</t>
  </si>
  <si>
    <t>更换载板绒布，使用胶皮</t>
  </si>
  <si>
    <t>固化炉出口处卡板</t>
  </si>
  <si>
    <t>接驳滑轮位置有点高，滑轮位置调低</t>
  </si>
  <si>
    <t>固化炉进口放板进去不顺畅，太紧了</t>
  </si>
  <si>
    <t>把两边挡条用锉刀磨成八字形</t>
  </si>
  <si>
    <t>ICT张紧轮轴承损坏，同步带变形</t>
  </si>
  <si>
    <t>更换同步轮，同步带</t>
  </si>
  <si>
    <t>扫码传送带后端轨道晃动大，导致机械手取料不稳定</t>
  </si>
  <si>
    <t>佛山领智灌胶预热炉改造</t>
  </si>
  <si>
    <t>PJ240904772</t>
  </si>
  <si>
    <t>灌胶机A胶出胶量不均匀</t>
  </si>
  <si>
    <t>桶底阀不锈钢波纹管里面残胶清理不干净，重新更换</t>
  </si>
  <si>
    <t>灌胶机出胶有气泡</t>
  </si>
  <si>
    <t>把胶桶里面胶排完后，重新加胶，管道加热</t>
  </si>
  <si>
    <t>配胶桶搅拌电机有时不转</t>
  </si>
  <si>
    <t>更换启动电容</t>
  </si>
  <si>
    <t>A出胶接头损坏，出胶异常</t>
  </si>
  <si>
    <t>更换接头，重新调比例，优化PLC程序</t>
  </si>
  <si>
    <t>机械设计、电气</t>
  </si>
  <si>
    <t>张昌望、王俊</t>
  </si>
  <si>
    <t>顺德海尔手插线皮带线及辅助设备</t>
  </si>
  <si>
    <t>PJ240904773</t>
  </si>
  <si>
    <t>3线插件线客户更改需求，3线挪一段到6线</t>
  </si>
  <si>
    <t>线路控制重新更改整理</t>
  </si>
  <si>
    <t>6线增加一段重新接电</t>
  </si>
  <si>
    <t>接线通电运行</t>
  </si>
  <si>
    <t>不能触摸屏上调宽</t>
  </si>
  <si>
    <t>第一段调宽并到第二段一起调宽，线并到驱动器上</t>
  </si>
  <si>
    <t>谢俊</t>
  </si>
  <si>
    <t>受伤中</t>
  </si>
  <si>
    <t>高空油泵线正常使用过程中产品会倒</t>
  </si>
  <si>
    <t>2024.11.9号检查皮带运行状况时不慎摔落受伤休假中</t>
  </si>
  <si>
    <t>销售</t>
  </si>
  <si>
    <t>尹杨飞</t>
  </si>
  <si>
    <t>2024.11.9</t>
  </si>
  <si>
    <t>袁盛武</t>
  </si>
  <si>
    <t>武汉中航</t>
  </si>
  <si>
    <t>WHA3-P1-CIR产线模组绝缘耐压测试挑战件</t>
  </si>
  <si>
    <t>PJ240723710</t>
  </si>
  <si>
    <t>P3线EOL设备测试，烧录等异常问题</t>
  </si>
  <si>
    <t>排查线路，重新接线及更换损坏的继电器，CAN盒等</t>
  </si>
  <si>
    <t>林海</t>
  </si>
  <si>
    <t>武汉暖通</t>
  </si>
  <si>
    <t>DIP低震动改造项目</t>
  </si>
  <si>
    <t>PJ240719702</t>
  </si>
  <si>
    <t>2024.9</t>
  </si>
  <si>
    <t>筛选机未达客户安全要求需要增加防护罩</t>
  </si>
  <si>
    <t>按客户要求进行防护罩安装</t>
  </si>
  <si>
    <t>机械设计、生产</t>
  </si>
  <si>
    <t>张丙波、方康敬</t>
  </si>
  <si>
    <t>ICT测试设备出现皮带转不动的异常问题</t>
  </si>
  <si>
    <t>调整皮带电机驱动器的拨码，增加电流</t>
  </si>
  <si>
    <t>显示板功能测试设备</t>
  </si>
  <si>
    <t xml:space="preserve"> PJ240528618</t>
  </si>
  <si>
    <t>显示板线老款载具良率达不客户要求</t>
  </si>
  <si>
    <t>公司新做的载具进行测试验证效果</t>
  </si>
  <si>
    <t>高勇</t>
  </si>
  <si>
    <t>胡远来</t>
  </si>
  <si>
    <t>衡阳比亚迪</t>
  </si>
  <si>
    <t>线路板全自动组装线</t>
  </si>
  <si>
    <t>PJ240905775</t>
  </si>
  <si>
    <t>7台外购设备无交换机，无法网络连接</t>
  </si>
  <si>
    <t>安装交换机</t>
  </si>
  <si>
    <t>售前</t>
  </si>
  <si>
    <t>周定炫</t>
  </si>
  <si>
    <t>7台外购设备交换机没有网络连接线</t>
  </si>
  <si>
    <t>布网线连接交换机</t>
  </si>
  <si>
    <t>点胶视觉系统定位偏差大</t>
  </si>
  <si>
    <t>远程协助视觉工程师优化视觉系统软件</t>
  </si>
  <si>
    <t>键合机定位阻挡气缸一边受力，导致产品偏斜</t>
  </si>
  <si>
    <t>更换新的阻挡板金</t>
  </si>
  <si>
    <t>拉力检测设备测试沟轴撞歪了</t>
  </si>
  <si>
    <t>更换新的检测沟轴</t>
  </si>
  <si>
    <t>上料机每次上升行程小，导致频繁卡板</t>
  </si>
  <si>
    <t>调节上料机行程锯齿片</t>
  </si>
  <si>
    <t>点胶机喷不出胶，</t>
  </si>
  <si>
    <t>用酒精清洗胶逍疏通喷嘴</t>
  </si>
  <si>
    <t>镭雕机定位不准，镭雕图形超出界外</t>
  </si>
  <si>
    <t>调节镭雕相机定位座标，微调偏移量参数</t>
  </si>
  <si>
    <t>点胶机喷出来的胶有空孔，达不到工艺要求</t>
  </si>
  <si>
    <t>调节点胶嘴上升时间</t>
  </si>
  <si>
    <t>视觉检测胶点形状，位置功能达不到工艺要求</t>
  </si>
  <si>
    <t>协助视觉软件工程师解决问题</t>
  </si>
  <si>
    <t>正常启动镭雕机不动，也不报警</t>
  </si>
  <si>
    <t>重新制作镭雕模板，</t>
  </si>
  <si>
    <t>客户反馈我们设备铭牌不合格，需重新制作</t>
  </si>
  <si>
    <t>每台设备重新贴铭牌</t>
  </si>
  <si>
    <t>固化炉生产中卡板</t>
  </si>
  <si>
    <t>调节运输链条张紧度，加高温润滑油</t>
  </si>
  <si>
    <t>镭雕定位不准有较大偏移</t>
  </si>
  <si>
    <t>微调相机偏移量</t>
  </si>
  <si>
    <t>点胶机喷胶不稳定，</t>
  </si>
  <si>
    <t>疏通喷嘴，调节喷头加热温度</t>
  </si>
  <si>
    <t>推拉力检测设备治具达不到检测要求，压不住</t>
  </si>
  <si>
    <t>重新更换新的治具</t>
  </si>
  <si>
    <t>收料机推杆经常卡死，推杆电机响声异常</t>
  </si>
  <si>
    <t>将推杆电机驱动器电流拨大</t>
  </si>
  <si>
    <t>推拉检测治具的压条不方便操作，客户要求改善</t>
  </si>
  <si>
    <t>重新更换新的蝴蝶螺丝，方便紧固操作</t>
  </si>
  <si>
    <t>FCT/ICT在线测试仪</t>
  </si>
  <si>
    <t>PJ240325149</t>
  </si>
  <si>
    <t>上针模偏移导致检测报警</t>
  </si>
  <si>
    <t>微调上针模座标</t>
  </si>
  <si>
    <t>检测通道中断，不通</t>
  </si>
  <si>
    <t>检查各测试线路，排查故障原因</t>
  </si>
  <si>
    <t>测试治具感应器异常报警</t>
  </si>
  <si>
    <t>将感应器厚度垫高1mm</t>
  </si>
  <si>
    <t>客户要求每个产品盖2个章</t>
  </si>
  <si>
    <t>协助电汽工程师远程修改程序</t>
  </si>
  <si>
    <t>盖章夹爪不匹配，盖章笔频繁松弛</t>
  </si>
  <si>
    <t>重新更换新的盖章夹爪</t>
  </si>
  <si>
    <t>Q1现场问题汇总</t>
  </si>
  <si>
    <t>问题点数量</t>
  </si>
  <si>
    <t>项目数量
比例</t>
  </si>
  <si>
    <t>设备台数
比例</t>
  </si>
  <si>
    <t>项目数量不良率</t>
  </si>
  <si>
    <t>设备台数不良率</t>
  </si>
  <si>
    <t>机械</t>
  </si>
  <si>
    <t>PMC</t>
  </si>
  <si>
    <t>各部门项目量/设备量不良率：</t>
  </si>
  <si>
    <t>2025年1/2/3月客服跟进现场设备问题分析统计</t>
  </si>
  <si>
    <t>泰国比亚迪</t>
  </si>
  <si>
    <t>转向盘总成测试台</t>
  </si>
  <si>
    <t>PJ240306119</t>
  </si>
  <si>
    <t>未录入发货信息</t>
  </si>
  <si>
    <t>安装设备配件，机器人工控机安装，等待客户施工电路给设备通电，预计明天通电完成</t>
  </si>
  <si>
    <t>比亚迪</t>
  </si>
  <si>
    <t>2025.2.17</t>
  </si>
  <si>
    <t>2025.2.28</t>
  </si>
  <si>
    <t>教客户熟悉打开软件操作流程，顺便把机器人本体安装好，通电，等待机器人电池到货</t>
  </si>
  <si>
    <t>设备硬件全都初始化成功，目前只能电池到货安装，全自动跑看下良率</t>
  </si>
  <si>
    <t>设备准备工作结束，拉到另一个地方，等待机器人电池到货安装全流程跑下</t>
  </si>
  <si>
    <t xml:space="preserve"> PJ240430577</t>
  </si>
  <si>
    <t>下盖装配工位(装小盖) 装配鼓包。装不到位 无法压紧。小盖卡扣压爆</t>
  </si>
  <si>
    <t>原因分析：A.小盖插导向定位舌太紧 导致物料合盖动作发生偏移。
b.卡扣台阶有2种尺寸，小台阶装配无问题。大台阶会出现装</t>
  </si>
  <si>
    <t>2025.2.5</t>
  </si>
  <si>
    <t>客户厂区节假日断电后。B面扫油机 会出现喷枪持续溢胶的问题，污染机台和地板 难以清洁</t>
  </si>
  <si>
    <t>断电断气后 需要关闭胶桶 涂料出口阀</t>
  </si>
  <si>
    <t>018859 角度测试机</t>
  </si>
  <si>
    <t>PJ240517598</t>
  </si>
  <si>
    <t>客户反馈设备测试角度差异值-33度，实测角度127度</t>
  </si>
  <si>
    <t>排查发现客户更改参数旋转角度原-40度改为40度，正负变动导致测试值差异</t>
  </si>
  <si>
    <t>2025.3.31</t>
  </si>
  <si>
    <t>机器人电池已到，安装电池。开始全流程跑动，目前扫码器识别不了二维码，改用条形码跑通全流程</t>
  </si>
  <si>
    <t xml:space="preserve">小盖震动盘卡料 导致小盖分料工位超时 </t>
  </si>
  <si>
    <t xml:space="preserve">来料毛刺 无法顺利通过轨道 </t>
  </si>
  <si>
    <t>底壳上料工位分分料治具出现经常性卡壳导致点位发生偏移</t>
  </si>
  <si>
    <t>分料治具需要重做</t>
  </si>
  <si>
    <t>定位夹爪推出会偶发性顶弯产品usb头 导致物料报废</t>
  </si>
  <si>
    <t>上料导向 有时会无法将产品导正入底壳内。导致 定位夹爪推出撞坏产品。</t>
  </si>
  <si>
    <t>震动盘分料模组偶发性出来反方向的上盖导致报警</t>
  </si>
  <si>
    <t>震动盘出料轨道需要优化。</t>
  </si>
  <si>
    <t>套袋装盒打包机
1.发说明书模组偶发性发2本</t>
  </si>
  <si>
    <t>调试验证中</t>
  </si>
  <si>
    <t xml:space="preserve">ISO工位之前调试内阻仪损坏，返修中！ </t>
  </si>
  <si>
    <t>沟通现场客户从别的线体拆一个过来使用</t>
  </si>
  <si>
    <t>2025.2.24</t>
  </si>
  <si>
    <t>常州毫厘</t>
  </si>
  <si>
    <t xml:space="preserve"> IMU组装自动线</t>
  </si>
  <si>
    <t>PJ241010813</t>
  </si>
  <si>
    <t>上盖上料机增加2D彩色相机做胶路检测</t>
  </si>
  <si>
    <t>配件3.19号物料到齐现场并打孔安装，视觉软件到现场调试验证OK，并和MES核对需求数据要求和通讯验证：</t>
  </si>
  <si>
    <t>机械设计外发</t>
  </si>
  <si>
    <t>2025.3.17</t>
  </si>
  <si>
    <t>2025.3.27</t>
  </si>
  <si>
    <t>2025.4.10</t>
  </si>
  <si>
    <t>单双轨固化炉会连续出板 卡板</t>
  </si>
  <si>
    <t>单轨固化炉当后机故障时会有出现几个产品达到固化时间后会连续放出导致点胶机报警；将出板延时由15s改成5s后阻挡能够有效挡住第二块待放行的产品；双轨炉子2轨道频繁卡板（满载7个载具后还会给平移机要板信号、1轨道缺板也还是往2轨道放），联系固化炉厂家（湘菱）电气工程师捋顺优先逻辑修改电气控制程序后正常。</t>
  </si>
  <si>
    <t>上料点胶机3D胶路检测未实现</t>
  </si>
  <si>
    <t>3D软件工程师程序写到一半甩手不干，公司林工接手重新写3D检测软件，预计要近2周才能完成。</t>
  </si>
  <si>
    <t>重庆海尔</t>
  </si>
  <si>
    <t>重庆空调电脑板自动化DIP线设备</t>
  </si>
  <si>
    <t>PJ240806729</t>
  </si>
  <si>
    <t>载具回流斜坡工装焊点脱落</t>
  </si>
  <si>
    <t>重新找人焊接并在挡边增加焊接3-4个90度角加强筋：</t>
  </si>
  <si>
    <t>2025.3.28</t>
  </si>
  <si>
    <t>回流线高度需要在下降5cm.</t>
  </si>
  <si>
    <t>要确认技术要求是否满足</t>
  </si>
  <si>
    <t>间歇性出现漏点胶，喷头堵塞等问题。</t>
  </si>
  <si>
    <t>24年10月多次协商催促至今！增加自动擦胶结构和浸泡结构。物料一直未发往现场！</t>
  </si>
  <si>
    <t>外发</t>
  </si>
  <si>
    <t>2025.3.1</t>
  </si>
  <si>
    <t>外协供应商不配合拖延行为，给客户带来了极为不满的情绪！存在拖慢整线验收进度风险。</t>
  </si>
  <si>
    <t>内阻测试台测试不过</t>
  </si>
  <si>
    <t>用万用表测继电器控制板卡没导通已坏，需要更换</t>
  </si>
  <si>
    <t>长沙雨花比亚迪</t>
  </si>
  <si>
    <t>翻转试验台_非标</t>
  </si>
  <si>
    <t>PJ230904316</t>
  </si>
  <si>
    <t>1.新增电磁阀控制不到</t>
  </si>
  <si>
    <t>给供应商寄过去的电磁阀供应商测试后是正常的，重新排查发现是设备气压太小没有达到电磁阀需要的最小气压，所以电磁阀无法正常工作。已和机械反馈重新下单</t>
  </si>
  <si>
    <t>刘亚强</t>
  </si>
  <si>
    <t>1线隧道炉卡板</t>
  </si>
  <si>
    <t>调整加速段轨道水平</t>
  </si>
  <si>
    <t>机械外发</t>
  </si>
  <si>
    <t>1线缓存机不能调宽</t>
  </si>
  <si>
    <t>联轴器松动，拧紧</t>
  </si>
  <si>
    <t>ICT防进双板感应器感应黑色不灵敏</t>
  </si>
  <si>
    <t>增加国产感应黑色灵敏的感应器</t>
  </si>
  <si>
    <t>机械设计、采购</t>
  </si>
  <si>
    <t>炉前AOI客户要增加OK,NG复检功能，控制插件线启停</t>
  </si>
  <si>
    <t>跟AOI厂家对接运行逻辑，更改调速器控制模式</t>
  </si>
  <si>
    <t>触摸屏在调宽过程中会黑屏</t>
  </si>
  <si>
    <t>触摸屏24V电压不稳定，重新直接接到功率大的开关电源上</t>
  </si>
  <si>
    <t>齿轮泵不转动，发生异响</t>
  </si>
  <si>
    <t>出胶电磁阀里面没24V不通，更换电磁阀</t>
  </si>
  <si>
    <t>常州市毫厘</t>
  </si>
  <si>
    <t>lMU组装自动线</t>
  </si>
  <si>
    <t>单轨/双轨固化炉温差变化大（10度）不符合产品工艺要求且导致频繁报警</t>
  </si>
  <si>
    <t>远程协助工程师优化程序</t>
  </si>
  <si>
    <t>卢维学</t>
  </si>
  <si>
    <t>福建海睿达</t>
  </si>
  <si>
    <t>伺服标杆线整机自动化连线测试</t>
  </si>
  <si>
    <t>PJ241111867</t>
  </si>
  <si>
    <t>其它</t>
  </si>
  <si>
    <t>老化前，老化后霍尔传感器检测值不准</t>
  </si>
  <si>
    <t>拆除霍尔传感器，寄回厂家校准</t>
  </si>
  <si>
    <t xml:space="preserve">PJ231220468 </t>
  </si>
  <si>
    <t>平衡测试机</t>
  </si>
  <si>
    <t>PJ241210913</t>
  </si>
  <si>
    <t>电池</t>
  </si>
  <si>
    <t>设备问题点整改
1:缺少6个磁铁座
2:外观螺丝为杯头凸出影响美观
3:部分门缝未安装平整开关不顺畅
4:设备内走线导致机构运动有干涉
5:光栅固定为直通型材孔固定不可调节
6:裸露线未包扎影响美观</t>
  </si>
  <si>
    <t>1:磁铁座未到
2:螺丝更换蘑菇头螺丝
3:设备所有门从新调整
4:线路从新调整避免干涉
5:更换T型可调节螺母
6</t>
  </si>
  <si>
    <t>机构电气线路侧面走位有干涉</t>
  </si>
  <si>
    <t>电气线路从新整理下方走位固定避免结构上下活动干涉！</t>
  </si>
  <si>
    <t>ISO设备出现测不到电芯模组内阻的异常</t>
  </si>
  <si>
    <t>排查发现气缸下压测试线存在拉扯问题导致线损坏，重新走线并跟进验证</t>
  </si>
  <si>
    <t>回流线皮带出现严重磨损，整体皮带线跑歪</t>
  </si>
  <si>
    <t>2025.3.28下午开始现场调整了张力偏移,至30号下班经过多次调整后没有再出现偏移的现象。</t>
  </si>
  <si>
    <t>3号线回流线中间结合段卡载具。</t>
  </si>
  <si>
    <t>部分增加螺丝可固定住，整体未和机台串联做固定导致此现象：</t>
  </si>
  <si>
    <t>991006332-阻抗检查夹具升级(D类)夹具</t>
  </si>
  <si>
    <t xml:space="preserve"> PJ250116968</t>
  </si>
  <si>
    <t>客户提供无线扫码枪，扫码枪安装固定走线</t>
  </si>
  <si>
    <t>扫码枪网线不够长增加USB延长线，整体改造完成待验收</t>
  </si>
  <si>
    <t>991006331-M18 Forge HO XC 电芯极性检测夹具（D类）</t>
  </si>
  <si>
    <t xml:space="preserve"> PJ250116967</t>
  </si>
  <si>
    <t>新设备到现场卸货入库
未装铭牌货仓不予签字入库</t>
  </si>
  <si>
    <t>反馈工程师制作铭牌到现场安装</t>
  </si>
  <si>
    <t xml:space="preserve"> PJ250114961</t>
  </si>
  <si>
    <t>1:补料模组水平偏差高低不一
2:鼠标垫加工件少焊垫块
3:电脑电源与设备电源接一起导致设备电源断电电脑关机</t>
  </si>
  <si>
    <t>从新调整模组
反馈机加供应商从新做一块钣金
电脑排插线路从走与设备电源分开</t>
  </si>
  <si>
    <t>电脑显示器显示有遮挡无法调节，固定钣焊接错位</t>
  </si>
  <si>
    <t>缺少的电池检测光电更换
门板接近开关位置从新安装
电脑显示器固定钣从新打孔固定</t>
  </si>
  <si>
    <t>设备运动过程中补料模组Z轴编码器报警210频繁</t>
  </si>
  <si>
    <t>排查发现电机线路未固定好导致模组动作运动有拉扯现象从而线路接触不良！</t>
  </si>
  <si>
    <t>客户做预检发现测试板探针卡死无法拔出，部分探针与针套有胶水凝固现象</t>
  </si>
  <si>
    <t>无法拔出的针套全部更换，备品两套排查问题一样，更换针套从新焊接</t>
  </si>
  <si>
    <t>PJ241101852</t>
  </si>
  <si>
    <t>急停没有安装保护罩</t>
  </si>
  <si>
    <t>安装保护罩</t>
  </si>
  <si>
    <t>生产5S产品 一工位误测高</t>
  </si>
  <si>
    <t>风机与压机线接反，导致误测</t>
  </si>
  <si>
    <t>1.测试时光栅触发
2.触摸屏不显示新增的流量表数值</t>
  </si>
  <si>
    <t>1.通过排查发现设备翻转时拉动电线导致磨损破皮导致
2.优化PLC软件程序</t>
  </si>
  <si>
    <t>2025.3.7</t>
  </si>
  <si>
    <t>A3P1线EOL设备线束容很乱及容易损坏异常问题</t>
  </si>
  <si>
    <t>整理线束及套波纹管保护线束</t>
  </si>
  <si>
    <t>所有设备轨道定位顶升气缸与治具定位孔配合太紧导致气缸伸缩不良导致频繁报警</t>
  </si>
  <si>
    <t>打磨所有设备轨道定位顶升气缸定位销</t>
  </si>
  <si>
    <t>宁波比亚迪奉化工厂</t>
  </si>
  <si>
    <t xml:space="preserve"> EOL综合性能测试仪</t>
  </si>
  <si>
    <t>PJ240511592</t>
  </si>
  <si>
    <t>测试时没有电流输入</t>
  </si>
  <si>
    <t>测试工程师视频指导排查线路故障，电流周转箱重新接线</t>
  </si>
  <si>
    <t>后排铜柱接触不良</t>
  </si>
  <si>
    <t>整理铜柱，重新加固触点</t>
  </si>
  <si>
    <t>坦克链条脱落，</t>
  </si>
  <si>
    <t>重新打孔固定坦克链条</t>
  </si>
  <si>
    <t>老化炉上位机8个工位485通讯线都焊错了，需要重新焊点位</t>
  </si>
  <si>
    <t>拆解后重新焊接对应点位，已解决</t>
  </si>
  <si>
    <t>老化炉部分通讯异常，需更换航空插头</t>
  </si>
  <si>
    <t>联系公司从公司寄出航空插头更换</t>
  </si>
  <si>
    <t>老化炉上位机8个工位通讯线点位接错，老化炉与后段联机线接头滑牙导致通讯不稳</t>
  </si>
  <si>
    <t>重新焊点位，新寄接头更换</t>
  </si>
  <si>
    <t>安规测试以及老化后测试机台，强电测试工位线接反。</t>
  </si>
  <si>
    <t>跟工程确认后进行更换。</t>
  </si>
  <si>
    <t>惠州德赛西威</t>
  </si>
  <si>
    <t>离线测量间隙和面差检测</t>
  </si>
  <si>
    <t xml:space="preserve"> PJ240401501</t>
  </si>
  <si>
    <t>夹持动作X Y错误，无法定位准确</t>
  </si>
  <si>
    <t>现场用客户手机开远程修改程序先夹X 再夹Y的动作逻辑，增强夹持定位一致性：</t>
  </si>
  <si>
    <t>王子豪</t>
  </si>
  <si>
    <t>2025.2.26</t>
  </si>
  <si>
    <t>PDU智能插座EOL性能测试机</t>
  </si>
  <si>
    <t>PJ240409520</t>
  </si>
  <si>
    <t>测试产品NG复测流程过于麻烦，需把四个插仔从新归位感应器检测到后夹持气缸才会缩回取出产品重新放入产品测试！</t>
  </si>
  <si>
    <t>程序优化测试NG解锁后可直接启动复测！</t>
  </si>
  <si>
    <t>黄磊</t>
  </si>
  <si>
    <t>雷赛运动控制板连接线型号错误，BOM下单CABELE68-NR-20现场型号为CABELE68-NP-20，接线盒型号BOM下单型号为ACC0640A现场型号为ACC0640
电脑缺少链接PLC网线</t>
  </si>
  <si>
    <t>反馈工程师与供应商沟通换货</t>
  </si>
  <si>
    <t>更换完成</t>
  </si>
  <si>
    <t>电芯搬运上下气缸活动响声过大，调节阀关闭依然存在现象，电磁阀品牌未按客户指定品牌安装导致密封性较差无法密封气压
E3Z-LS63感应器损坏无信号反应</t>
  </si>
  <si>
    <t>反馈工程师下单客户指定SMC SY5220-5LZD-01电池阀
客户提供E3Z-LS63感应器更换需采购对应型号感应器归还客户</t>
  </si>
  <si>
    <t>客户反应设备调试过程中上料接近传感器有一个无信号回馈现象</t>
  </si>
  <si>
    <t>排查接近感应器为可调节，调节开关未开启</t>
  </si>
  <si>
    <t>成品下料模组移栽取产品失败</t>
  </si>
  <si>
    <t>原因分析：1号位感应器需要调整位置，已处理。</t>
  </si>
  <si>
    <t>陈昌冠</t>
  </si>
  <si>
    <t>读码测试机镭雕与测试平台uph达不到要求。出现后前后工序 待料的情况</t>
  </si>
  <si>
    <t>节拍持续优化中</t>
  </si>
  <si>
    <t>上位机，电气，</t>
  </si>
  <si>
    <t>游韦业，杜磊</t>
  </si>
  <si>
    <t>iso出现探针装坏异常问题</t>
  </si>
  <si>
    <t xml:space="preserve">经过排查发现是我们设备与线体交互存在问题，沟通电气工程李磊进行更改 </t>
  </si>
  <si>
    <t>iso测试测完成后，测试结果及测试数据上传MES失败</t>
  </si>
  <si>
    <t>沟通测试工程刘伟及电气工程师李磊进行处理并验证效果达到客户要求</t>
  </si>
  <si>
    <t>PCB上料托盘升降到位托盘高度不平行，夹盘气缸会夹住两盘物料，导致盘内物料震翻：</t>
  </si>
  <si>
    <t>调整托盘升降到位感应器位置，调整夹盘气缸夹爪高低后正常：</t>
  </si>
  <si>
    <t>蔡柯柄</t>
  </si>
  <si>
    <t>客户提出设备日光灯测试过程中需灭灯，测完后自动亮灯</t>
  </si>
  <si>
    <t>反馈工程师优化程序除去测试时间内不亮灯其余时间段均亮灯状态及触摸屏增加开关灯按钮</t>
  </si>
  <si>
    <t>Gang Box 成品功率测试机</t>
  </si>
  <si>
    <t>PJ240509590</t>
  </si>
  <si>
    <t>触摸屏IO9-10点亮无显示</t>
  </si>
  <si>
    <t>杜磊现场优化程序</t>
  </si>
  <si>
    <t>下层顶升气缸回提前顶起导致卡板</t>
  </si>
  <si>
    <t>1.增加顶升延迟，2.调紧倍速链，3.前升降机皮带调快</t>
  </si>
  <si>
    <t>第三工位出板卡载具</t>
  </si>
  <si>
    <t>联系电气刘耀远程修改程序后OK</t>
  </si>
  <si>
    <t>扫码位置，扫码完成后有几率不清除，导致一块板子不扫码</t>
  </si>
  <si>
    <t>刘耀现场修改程序</t>
  </si>
  <si>
    <t>料工位机械手盖盒出现盒子盖歪 需要完全下料后 手动压正</t>
  </si>
  <si>
    <t>点位结构需要进一步调效和优化</t>
  </si>
  <si>
    <t>持续试跑qualify，验证生产稳定中</t>
  </si>
  <si>
    <t>取泡棉工位和取包装盒工位无法吸起盒子以及泡棉</t>
  </si>
  <si>
    <t>来料的盒子以及泡棉 有至少2种型号规格。公差范围在3-5mm 需要统包材规格。结构重做已出图纸，</t>
  </si>
  <si>
    <t>pmc计划给出的物料到达现场时间为2月26日。截止2月27号物料依然未发出！项目3月15号进行初验时间紧张。</t>
  </si>
  <si>
    <t>小车万向轮锁住刹车会刮花划伤车间地板。客户要求给地板重新喷漆修复因小车划伤的地板。</t>
  </si>
  <si>
    <t>小车万向轮更换油轮减少与地面的蹭划。目前与客户沟通中同意修复因小车划伤的地板。拆除万向轮刹车。尚未承诺更换万向轮的方案。</t>
  </si>
  <si>
    <t>地面修复后小车万向轮依然有划伤地板的风险。只是拆除万向轮刹车后 划伤地板程度减轻，无法完全避免。</t>
  </si>
  <si>
    <t>、大二维码打印工位，打印纸卷纸或推料不到位情况，较频繁出现；</t>
  </si>
  <si>
    <t>打印机速度过快</t>
  </si>
  <si>
    <t>项目改造进气口增加气流表</t>
  </si>
  <si>
    <t>硬件上缺少气管插头未找到合适的需要帮忙邮寄，5点后客户下班和plc更新软件（已更新完）差上位机和气管头</t>
  </si>
  <si>
    <t>PLC不通电</t>
  </si>
  <si>
    <t>智晟威发新的PLC更换，更改参数</t>
  </si>
  <si>
    <t>A3P1ISO设备出现Z轴伺服报错异常问题</t>
  </si>
  <si>
    <t>沟通电气工程李磊进行远程修改程序</t>
  </si>
  <si>
    <t>PCBA上料机/上盖板机的料盘底部收盘底部感应器信号不稳定导致频繁报警</t>
  </si>
  <si>
    <t>全部更换新的感应器</t>
  </si>
  <si>
    <t>鹅埠比亚迪</t>
  </si>
  <si>
    <t>压缩机测试台架</t>
  </si>
  <si>
    <t>PJ241205909</t>
  </si>
  <si>
    <t>继电器烧坏导致设备无法正常运行</t>
  </si>
  <si>
    <t>更换新的继电器</t>
  </si>
  <si>
    <t>测试工程师视频指导排查线路故障，更换新的继电器</t>
  </si>
  <si>
    <t>测试平台一极限感应器信号不稳定</t>
  </si>
  <si>
    <t>微调感应片位置，确保感应器信号稳定良好</t>
  </si>
  <si>
    <t>后面铜柱气缸下压，感应器信号不稳定导致频繁报警</t>
  </si>
  <si>
    <t>微调气缸感应器位置</t>
  </si>
  <si>
    <t xml:space="preserve"> PJ231025433 </t>
  </si>
  <si>
    <t xml:space="preserve"> PJ240509589</t>
  </si>
  <si>
    <t>新模块插仔测试频繁NG测不过，排除发现新插头为锁紧方式固定拉扯易断铜丝导致接触不良
上位机软件存在漏洞7号与11号插头顺序排错依然能测试通过！</t>
  </si>
  <si>
    <t>所有插仔拆除增加焊接固定
上位机软件漏洞反馈刘伟优化</t>
  </si>
  <si>
    <t>刘伟</t>
  </si>
  <si>
    <t>mes接口等讯息提供给相关人员，由于机器人电池一直未到，提前做mes相关工作</t>
  </si>
  <si>
    <t>周欢欢</t>
  </si>
  <si>
    <t>当前两款产品背光问题已调试完毕，整体培训设备操作方法和机器人</t>
  </si>
  <si>
    <t>读码测试机
1.测试过程中如果8个测试都NG 或者混料的情况下。测试上位机与镭雕机plc 通讯异常。表现为上位机一直等待镭雕结果300秒之久。导致plc超时报警。必须要整机复位 并且将机台物料清空 才能继续。</t>
  </si>
  <si>
    <t>上位机与镭雕机通讯异常</t>
  </si>
  <si>
    <t>机械外发、测试</t>
  </si>
  <si>
    <t>张丙波、金希倩、颜耀松</t>
  </si>
  <si>
    <t>二维码标签打印 第一次NG后 请求重新打标签。之后打印出来的标签一直报NG 经检查重新打印出来标mac信息能和上位机产品一一对上 。但一直报ng需要模组复位才能清除故障</t>
  </si>
  <si>
    <t>优化 打印软件</t>
  </si>
  <si>
    <t>颜耀松</t>
  </si>
  <si>
    <t>下料工位机械手盖盒出现盒子盖歪 需要完全下料后 手动压正。</t>
  </si>
  <si>
    <t>Wi-Fi测试机
1.1-8号屏蔽箱射频测试ng的问题较多。ng测试项为产品启动失败，产品校准失败。直通率无法达到技术协议要求90%以上</t>
  </si>
  <si>
    <t xml:space="preserve">射频针需要更换 </t>
  </si>
  <si>
    <t>Wifi贴片镭雕机
1. 测试镭雕都ok的产品上位机软件界面显示ng、2. 原因分析：上位机显示了错误的信息。需要优化</t>
  </si>
  <si>
    <t>优化测试软件</t>
  </si>
  <si>
    <t>A B模组测试位良率过低。</t>
  </si>
  <si>
    <t xml:space="preserve">原因分析： 上位机网口串口等通讯存在延迟，具体不良项表现为 无法读取Mac 软件版本号 scxd自检失败等问题。 </t>
  </si>
  <si>
    <t>EOL返修工位之前调试的时候损坏控制板一块</t>
  </si>
  <si>
    <t>更换损坏的继电器控制板，并验证效果，保证设备能正常使用</t>
  </si>
  <si>
    <t>沟通测试工程刘伟及电气工程师李磊进行处理</t>
  </si>
  <si>
    <t>EOL设备进行跑料调试</t>
  </si>
  <si>
    <t>沟通客户提供测试质料及公司测试工程师远程调试</t>
  </si>
  <si>
    <t>EOL设备安客户要求进行MES调试</t>
  </si>
  <si>
    <t>远程测试工程杨明博进行调试</t>
  </si>
  <si>
    <t>东莞远峰科技</t>
  </si>
  <si>
    <t>域控测试设备</t>
  </si>
  <si>
    <t>PJ240223090</t>
  </si>
  <si>
    <t>域控</t>
  </si>
  <si>
    <t>测试程序更改优化</t>
  </si>
  <si>
    <t>现场配合远程半天已完成更改优化</t>
  </si>
  <si>
    <t>丘文华</t>
  </si>
  <si>
    <t>20250.3.12</t>
  </si>
  <si>
    <t>改造方案确认完毕，客户提供电脑显示器扫码枪
部分物料未齐</t>
  </si>
  <si>
    <t>已到物料及客供物料安装改造完成，欠缺测电压3*2.5 及4平方红黑线</t>
  </si>
  <si>
    <t>电源线测试线挂钩检测感应器无信号回馈，感应器低平继电器板无法直接读取控制</t>
  </si>
  <si>
    <t>增加两组继电器通过继电器切换控制继电器板正常回读</t>
  </si>
  <si>
    <t>PJ250114961</t>
  </si>
  <si>
    <t>问题点统计
1:雷赛运动控制板接线板货不对板，后续设备按客户指定ACC0640A型号安装！
2:仪器3561需提供合格证，设备零件合格证
3:缺少测试针板
4:缺少电池检测感应器一个</t>
  </si>
  <si>
    <t>扫码软件无法扫码</t>
  </si>
  <si>
    <t>扫码枪异常 重置后恢复正常</t>
  </si>
  <si>
    <t>伍金明</t>
  </si>
  <si>
    <t>SN读取异常乱码</t>
  </si>
  <si>
    <t>初步排除是RFID问题，更换后带验证</t>
  </si>
  <si>
    <t>冷进温度异常/电脑蓝屏</t>
  </si>
  <si>
    <t>客户要求是20K电阻 实际是20K电阻，客户回复他们解决/电脑重装系统</t>
  </si>
  <si>
    <t>升降机调速器客户需求保护罩</t>
  </si>
  <si>
    <t>读码工位不能读取33位条码</t>
  </si>
  <si>
    <t>伍工远程修改软件</t>
  </si>
  <si>
    <t>测试位不能兼容33位条码</t>
  </si>
  <si>
    <t>排查载具异常 增加载具ID</t>
  </si>
  <si>
    <t>拆板工位，状态显示异常</t>
  </si>
  <si>
    <t>伍工现场修该程序</t>
  </si>
  <si>
    <t>读取SN乱码/风机良率低</t>
  </si>
  <si>
    <t>修改程序/改短风机线</t>
  </si>
  <si>
    <t>读取SN乱码</t>
  </si>
  <si>
    <t>伍工现场修改程序</t>
  </si>
  <si>
    <t>将UUT1的风机误测高</t>
  </si>
  <si>
    <t>将UUT1的风机线也改成外接OK，同步把2条旧线体一起改造</t>
  </si>
  <si>
    <t>读码乱码</t>
  </si>
  <si>
    <t>按照伍金明要求更改读卡器供电方式验证</t>
  </si>
  <si>
    <t>数据无法上传mes</t>
  </si>
  <si>
    <t>配合上位机远程，已能正常上传mes</t>
  </si>
  <si>
    <t>mes:
1.上传的数据看能否添加单位后缀
2.上传的数据需要增加产品型号和测试结果
3.上传的code需要可编辑</t>
  </si>
  <si>
    <t>配合上位机远程
1.上传添加了单位后缀
2.上传已增加产品型号和测试结果</t>
  </si>
  <si>
    <t>mes
1.上传的code需要可编辑</t>
  </si>
  <si>
    <t>配合上位机远程，已增加code编辑</t>
  </si>
  <si>
    <t>安规测试台增加需要分开测试</t>
  </si>
  <si>
    <t>增加一台主机和显示器，安装主机和显示器，已完成</t>
  </si>
  <si>
    <t>给新增加的主机安装软件以及测试</t>
  </si>
  <si>
    <t>配合上位机远程，安装软件并测试，已完成测试，没问题</t>
  </si>
  <si>
    <t>跟进产线生产及处理异常</t>
  </si>
  <si>
    <t>软件在正式环境下测试无法正常上传数据，配合上位机远程定位问题点并处理。已完成待明天生产验证</t>
  </si>
  <si>
    <t>电脑系统崩溃无法开机</t>
  </si>
  <si>
    <t>重装系统并安装上位机软件和验证调试（能正常测试）</t>
  </si>
  <si>
    <t>A3返修EOL设备，继电器板供电异常</t>
  </si>
  <si>
    <t>排查发现是继电器控制板损坏，更换新的继电器板</t>
  </si>
  <si>
    <t>A3EOL设备客户要求增加容量标定测试项</t>
  </si>
  <si>
    <t>远程测试工程林海进行调试</t>
  </si>
  <si>
    <t>A3增补两台EOL设备电脑配置满足不了测试要求</t>
  </si>
  <si>
    <t>更换新电脑</t>
  </si>
  <si>
    <r>
      <rPr>
        <sz val="11"/>
        <color rgb="FF000000"/>
        <rFont val="宋体"/>
        <charset val="134"/>
      </rPr>
      <t>Type</t>
    </r>
    <r>
      <rPr>
        <sz val="11"/>
        <color rgb="FF000000"/>
        <rFont val="Times New Roman"/>
        <charset val="134"/>
      </rPr>
      <t> </t>
    </r>
    <r>
      <rPr>
        <sz val="11"/>
        <color rgb="FF000000"/>
        <rFont val="宋体"/>
        <charset val="134"/>
      </rPr>
      <t>c串口线连接不稳定，时不时会断联，并且重新连接很费时间</t>
    </r>
  </si>
  <si>
    <t>跟硬件商量后需更换通讯方式，待丘工调试完老化后再跟进</t>
  </si>
  <si>
    <t>3D视觉软件只有基础检测逻辑，误判率高</t>
  </si>
  <si>
    <t>协调3D视觉和上位机对视觉检测部分进行精调对位；一部分已优化，待明天试产验证：</t>
  </si>
  <si>
    <t>机械（外发）</t>
  </si>
  <si>
    <t>上位机检测标准和客户的仪器标准配比</t>
  </si>
  <si>
    <t>将3D重复3次测量出来中间值的段差、间隙和客户现有的标准进行误差对比,并在后台程序里补误差0.025后验证每个点位的段差、间隙和客户仪器测量的值最大相差0.0015左右</t>
  </si>
  <si>
    <t>三联插仔拔插易损坏，客户提供插头牢固性差
材质由电木板变更赛钢板后回放插仔检测到位感应器检测不到斜面赛钢板材质</t>
  </si>
  <si>
    <t>更换三联插仔及固定座，插仔斜面改平面检测</t>
  </si>
  <si>
    <t>王永峰</t>
  </si>
  <si>
    <t>1:插仔固定座变高导致照相有盲区无法拍照灯光检测
2:插仔固定座后方走线导致按钮气缸下压干涉</t>
  </si>
  <si>
    <t>插仔固定座铣斜面避开照相机拍照盲区
固定座侧面开孔从新走线</t>
  </si>
  <si>
    <t>缺少6个L型磁铁座，4个平面磁铁座</t>
  </si>
  <si>
    <t>新到L型磁铁座与设备孔位不匹配，反应工程师从新按客户提供图纸重做</t>
  </si>
  <si>
    <t>卿琳</t>
  </si>
  <si>
    <t xml:space="preserve">成品功率测试设备
</t>
  </si>
  <si>
    <t>PJ250121006</t>
  </si>
  <si>
    <t>未录入</t>
  </si>
  <si>
    <t>与客户落实改造方案
1:新增启动按钮及蜂鸣器安装位置
2:测试与电源线挂钩安装位
3:欠缺电脑显示器提供
4:欠缺测试与电源线</t>
  </si>
  <si>
    <t>客供品未到位
黄平出图制造加工件</t>
  </si>
  <si>
    <t>黄平</t>
  </si>
  <si>
    <t>工控机及测试箱安装</t>
  </si>
  <si>
    <t>欠缺物料需3月15号前全部要到位，预计四月初投入生产使用</t>
  </si>
  <si>
    <t>下盖装配工位(装小盖) 偶发性装配鼓包。</t>
  </si>
  <si>
    <t>小盖插导向定位舌太紧 导致物料合盖动作发生偏移。</t>
  </si>
  <si>
    <t>标签取料打印模组经常性报警取取标签二维码故障</t>
  </si>
  <si>
    <t>打印机与吸取二维码结构有卡纸的情况</t>
  </si>
  <si>
    <t>来料的盒子以及泡棉 有至少2种型号规格。公差范围在3-5mm 需要统包材规格</t>
  </si>
  <si>
    <t xml:space="preserve">1.更换小堆车的卡扣，原先卡扣无法兼容其他设备
2.原先卡扣槽比新卡扣宽无法扣住 </t>
  </si>
  <si>
    <t>1.把卡扣气缸向外移，能够卡住小堆车
2.把气缸上拉卡扣处工件拿去加工，洗薄5mm，已加工完成</t>
  </si>
  <si>
    <t>1.更换小堆车的卡扣，原先卡扣无法兼容其他设备</t>
  </si>
  <si>
    <t>1.把卡扣气缸向外移，能够卡住小堆车，气缸已全部移完可卡住小堆车</t>
  </si>
  <si>
    <t xml:space="preserve">iso侧边结构拉不动载具弹簧 </t>
  </si>
  <si>
    <t>ISO新做钣金安 装并跟进效果</t>
  </si>
  <si>
    <t>上料机治具定位顶升气缸频繁报警</t>
  </si>
  <si>
    <t>加装轨道止回器，打磨定位柱，倒角</t>
  </si>
  <si>
    <t>上料机顶升上料途中岀现料盘卡顿</t>
  </si>
  <si>
    <t>更换新的倒向柱，重新调整</t>
  </si>
  <si>
    <t>生产过程中无缘无故停机，</t>
  </si>
  <si>
    <t>更换新的料盘底部感应器</t>
  </si>
  <si>
    <t>坪山比亚迪</t>
  </si>
  <si>
    <t>IDC整机OTA升级自动化测试、IDC整机自动化功能测试设备</t>
  </si>
  <si>
    <t xml:space="preserve"> PJ240905776</t>
  </si>
  <si>
    <t>客户现场验收跟进</t>
  </si>
  <si>
    <t>客户现场验收，跟进陪同；对验收清点缺少的8个屏蔽暗箱即刻安排下单3天内送达，促进验收完成。（箱体17号已完成组装，中午送达了客户现场）</t>
  </si>
  <si>
    <t>2025.3.14</t>
  </si>
  <si>
    <t>上盖上料机保压块为PU材质会粘连上盖，</t>
  </si>
  <si>
    <t>更换玻芊保压块后正常。</t>
  </si>
  <si>
    <t>转角滚筒接驳台</t>
  </si>
  <si>
    <t>出口打孔安装多个导向块便于载具顺利流入下一设备轨道：</t>
  </si>
  <si>
    <t>贴标检测设备贴标头客户调试时撞坏，贴标后吸盘吸取位置有鼓包现象。</t>
  </si>
  <si>
    <t>更换平口的贴标头因开孔过多（5个），标签大小（10*10mm)贴标吸盘比标签还大，将吸标头内部孔堵住只留中间1.2mm的孔可以正常取标，但还是会出现鼓包，已知会结构按照现场要求重新设计3个小孔（0.8mm)的吸标头到现场更换以保障设备贴标合格率及稳定性：</t>
  </si>
  <si>
    <t>客户反馈设备2号预对位伸出气缸报警频繁，下安全门报警无法清除</t>
  </si>
  <si>
    <t>预对位气缸感应器偏离重新调整
原结构装下机柜开门有安全隐患现结构变更设备内安装下安全门感应器可不使用，因此短接下安全门不使用</t>
  </si>
  <si>
    <t>部分产品按扭按压受力不一至导致产品无法按压激活，人工按压正常激活，上游设备正常可以按压</t>
  </si>
  <si>
    <t>电源启动按钮气缸气压调到最大依然无法启动产品，反馈曾伟立采购刚性加大气缸更换</t>
  </si>
  <si>
    <t>项目改造
测试线及电源线挂钩固定环材质为钢材无法吸附磁铁</t>
  </si>
  <si>
    <t>反馈黄平重新出图更换45#钢</t>
  </si>
  <si>
    <t>产品检测缺少一组感应器防呆</t>
  </si>
  <si>
    <t>新增一组感应器防呆</t>
  </si>
  <si>
    <t>电源停止键没有保护容易误触</t>
  </si>
  <si>
    <t>增加保护罩</t>
  </si>
  <si>
    <t>测试机器内部比较暗</t>
  </si>
  <si>
    <t>增加机器内部日光灯</t>
  </si>
  <si>
    <t>风机联轴器断裂</t>
  </si>
  <si>
    <t>更换备用连轴器</t>
  </si>
  <si>
    <t>功能测试台</t>
  </si>
  <si>
    <t>PJ241204904</t>
  </si>
  <si>
    <t>夹取产品夹子仿形做的有问题</t>
  </si>
  <si>
    <t>和架构黄光磊反馈了，重新优
做夹子优化结构。</t>
  </si>
  <si>
    <t>2025.3.20</t>
  </si>
  <si>
    <t>力值传感器控制盒没有安装</t>
  </si>
  <si>
    <t>和结构沟通，还缺少安装配件。待配件过来安装</t>
  </si>
  <si>
    <t>西安旭日东</t>
  </si>
  <si>
    <t>AOI内观检验设备(2D视觉),AOI内观检验设备(3D视觉),AOI裸机检验设备(2D视觉),AOI纸箱检验设备</t>
  </si>
  <si>
    <t>AOI纸箱检验设备，相机上下
气缸晃动较大</t>
  </si>
  <si>
    <t>结构重新做了固定件，安装调试。</t>
  </si>
  <si>
    <t>2025.3.29</t>
  </si>
  <si>
    <t>底壳上料工位分分料治具出现经常性卡壳导致点位发生偏移。</t>
  </si>
  <si>
    <t>2月9号重做的2款治具已经发往现场，在验证过程中卡壳问题，有所改善但不明显。具体表现为震动盘分为2段式结构，当振动盘少料填充不满第1段轨道时第2段轨道结构无推力，底壳无法完全进入分料治具，会停留在轨道与治具中间不上不下导致撞机。第2段轨道尝试增加吹气，验证中</t>
  </si>
  <si>
    <t>"下盖装配工位(装小盖) 偶发性装配鼓包。小盖插导向定位舌太紧 导致物料合盖动作发生偏移。
"</t>
  </si>
  <si>
    <t>增加复压（压小盖）结构件后，此工位只起到导向舌将小盖装入产品USB头的功能。</t>
  </si>
  <si>
    <t>下盖装配工位装入产品USB有一定概率偏移，导致人工上料工位压小盖（复压）无法压紧的遗留问题。容错率极低。</t>
  </si>
  <si>
    <t>来料毛刺 无法顺利通过轨道 。客户来料问题。需要优化上制程模具</t>
  </si>
  <si>
    <t>震动盘偶发性卡料导致底壳无法进入轨道</t>
  </si>
  <si>
    <t>发现卡料时需要人工干预 拿掉被卡住的底壳物料才会顺利通过轨道。需要振动盘供应商协助优化。</t>
  </si>
  <si>
    <t>经检查无脏污来料小盖装入震动盘。后段装配出来的产品有上盖脏污黑点的不良品。</t>
  </si>
  <si>
    <t>震动盘需要重新喷树脂漆 并加装防尘罩。</t>
  </si>
  <si>
    <t>小盖无法压紧有缝隙，卡扣压爆能用手轻易拔出产品。</t>
  </si>
  <si>
    <t>客户小盖来料至少有2家供应商，卡扣有大小台阶公差。此工位在2月9号已经验证小盖来料（小台阶）卡扣装配OK。设备已经生产200pcs送检通过并出货。 小盖来料（大台阶）卡扣在2月26号专为优化兼容来料（大台阶）的改造物料到达现场并安装完成。在试跑3387的产品中全部采用大台阶小盖试跑。良率无法达到预期效果，依然存在小盖无法压紧 卡扣压爆 有缝隙等问题。</t>
  </si>
  <si>
    <t>测试软件上位机8个测试工位全部读不出产品mac地址以及软件版本号。全SCXD自检失败全Fall状态。关闭测试软重新打开恢复正常。</t>
  </si>
  <si>
    <t>二维码标签打印 第一次NG后 请求重新打标签。之后打印出来的标签一直报NG 经检查重新打印出来标mac信息能和上位机产品一一对上 。但一直报ng需要模组复位才能清除故障。</t>
  </si>
  <si>
    <t>已经优化完成，持续试跑产品验证稳定中</t>
  </si>
  <si>
    <t>上盖来料有磨砂光面2种。磨砂面上盖来料间歇性无法通过震动盘轨道进入分料治具。有卡轨道和分料治具的问题。</t>
  </si>
  <si>
    <t>客户新模具生产的上盖是磨砂形态物料，光面小盖是因为模具使用年限过久。客户明确要求设备需兼容磨砂光面2种上盖来料。震动盘轨道以及分料治具需要优化。</t>
  </si>
  <si>
    <t>经检查无脏污来料上盖装入震动盘。后段装配出来的产品有上盖脏污黑点的不良品。</t>
  </si>
  <si>
    <t>因成品脏污无法出货的风险</t>
  </si>
  <si>
    <t>发说明书模组偶发性发2本</t>
  </si>
  <si>
    <t>增加感应器调节钣金</t>
  </si>
  <si>
    <t>通过检验来料，随机抽检100个左右卡抚，发现有10个左右的卡抚附有问题，形态变化，安装配合，很容易拉坏； | 按照目前的判断标准，以拉拔为主，拉不开即为格点，尽然会压爆但是依然不打开 |</t>
  </si>
  <si>
    <t>今天我们对卡抚的相关问题进行了一次追溯；不仅仅是供应商的问题，不同点通过检验发现（利益）也存在；  |
| 8    | 因为今天的时间有限，整个测试的物料也不是很多；明天我们会再次讨论工作，做一些跟进。 |</t>
  </si>
  <si>
    <t>物料安装完成</t>
  </si>
  <si>
    <t>震动盘轨道卡底壳 导致轨道无推力 报缺料超时</t>
  </si>
  <si>
    <t>增加吹气 试跑验证中</t>
  </si>
  <si>
    <t>1.小盖分料治具 间歇性卡料 
2.分料治具X轴丢步 导致取料小盖机构取料位偏移</t>
  </si>
  <si>
    <t>持续观察中</t>
  </si>
  <si>
    <t>CH3 CH6 通道出现读取不到产品 电流 Mac 软件版本 等信息 测试NG 6pcs</t>
  </si>
  <si>
    <t>连接工装 USB母头线松动导致 加装usb母头固定结构</t>
  </si>
  <si>
    <t>产品与二维码放置错误 3pcs  无法吸起二维码标签1pcs</t>
  </si>
  <si>
    <t>"1.标签纸拱起 感应器未感应到标签纸。
2.静电原因 标签纸粘在产品壳上 导致吸取标签位无二维码标签纸 吸取标签纸报警"</t>
  </si>
  <si>
    <t>预装第三个工位，频繁出现模块整体带出或者明显鼓包问题，预装模块被带出3次</t>
  </si>
  <si>
    <t>增加结构。物料已经下单</t>
  </si>
  <si>
    <t>人工上料安全门存在安全隐患</t>
  </si>
  <si>
    <t>增加安全光栅</t>
  </si>
  <si>
    <t>摆盘机械手吸料吸不起来</t>
  </si>
  <si>
    <t>跟客户远程排查金具磨损，上下不顺畅，</t>
  </si>
  <si>
    <t>客户要求更改双夹爪，满足不了每小时600节拍</t>
  </si>
  <si>
    <t>已确认方案，在做加工件，</t>
  </si>
  <si>
    <t>HC2EA电控箱_HC2EA</t>
  </si>
  <si>
    <t>PJ230727241</t>
  </si>
  <si>
    <t>电控箱不能供电</t>
  </si>
  <si>
    <t>排查是电源开关触点坏，更换</t>
  </si>
  <si>
    <t>A3P1ISO设备定位气缸报错及测试异常频繁出现异常问题</t>
  </si>
  <si>
    <t>沟通机械工程蔡小龙增加纠偏结构及更换定位销，确保设备定位精准</t>
  </si>
  <si>
    <t>A3P1线ISO设备生产过程频繁出现定位气缸报错及测试不稳定异常问题</t>
  </si>
  <si>
    <t>1.增加纠偏结构
2.更换损坏探针和探针块
3.调整板卡位置</t>
  </si>
  <si>
    <t>所有设备的治具二维码扫描异常无法正常识别</t>
  </si>
  <si>
    <t>更换新的治具二维码，远程协助视觉工程师优化程序</t>
  </si>
  <si>
    <t>上盖板机托盘板金宽度过长，会夹到第二层料盘导致料盘无法下降</t>
  </si>
  <si>
    <t>打磨托盘板金宽度</t>
  </si>
  <si>
    <t>4个圆形接驳台都存在不同程度的卡板现象</t>
  </si>
  <si>
    <t>重新调整4个圆形接驳台的导向板位置。重新打孔攻牙固定</t>
  </si>
  <si>
    <t>设备机架漏打过线孔</t>
  </si>
  <si>
    <t>机架重新扩孔</t>
  </si>
  <si>
    <t>安全门固定件破裂，已无法使用</t>
  </si>
  <si>
    <t>重新安装安全门固定板，</t>
  </si>
  <si>
    <t>安全门连接板损坏，破裂</t>
  </si>
  <si>
    <t>更换新的安全门连接板</t>
  </si>
  <si>
    <t>安全门上下活动响声异常，铜柱下上活动异常</t>
  </si>
  <si>
    <t>增加气缸的进出口节流阀，微调进出口的气压</t>
  </si>
  <si>
    <t>老化炉Z轴由于感应器干涉，无法走到下层放料位。</t>
  </si>
  <si>
    <t>联系结构更换感应器钣金以及型号。</t>
  </si>
  <si>
    <t>载具之间相差1mm，公差太大，对测试工位定位有影响</t>
  </si>
  <si>
    <t>由结构控制剩余载具公差，给予一个标准范围去调试</t>
  </si>
  <si>
    <t>老化炉Z轴新做的感应器钣金加工错误，导致感应器放不进去。</t>
  </si>
  <si>
    <t>现场对钣金进行扩孔，完成安装。</t>
  </si>
  <si>
    <t>老化炉X轴风琴罩依旧有干涉，安装风琴罩后X轴无法走到3工位取放料位置。</t>
  </si>
  <si>
    <t>反馈结构进行整改。</t>
  </si>
  <si>
    <t>对拖老化变压器走线，改造老化测试后风量感应器钣金，重新打孔定位。商讨风琴罩改造方案，暂未得出结论，先拆除风琴罩不影响调试进度。</t>
  </si>
  <si>
    <t>拆除风琴罩</t>
  </si>
  <si>
    <t>上午：老化炉拉温测试，过程中线材由于隔热性能较差，导致线皮热融后短路，已确定解决方案。 下午整线联动跑载具，确保明日能给客户提供线体视频素材。配合上位机以及测试部门调试验证。</t>
  </si>
  <si>
    <t>拆除旧电缆，更换耐高温电线，增加阻燃管</t>
  </si>
  <si>
    <t>老化炉热电偶检测位置与实际温度有误差</t>
  </si>
  <si>
    <t>重新配孔，更换热电偶位置。</t>
  </si>
  <si>
    <t>老化炉热电偶因为钣金限制，检测不准确</t>
  </si>
  <si>
    <t>现场临时制作钣金测试效果，OK后让结构下标准钣金件</t>
  </si>
  <si>
    <t>老化炉送风电机噪音较大</t>
  </si>
  <si>
    <t>现场临时制作罩子，实测有效果后让结构做新罩子隔音。</t>
  </si>
  <si>
    <t>老化前噪音检测不准确，因硬件限制以及环境因素无法达到效果</t>
  </si>
  <si>
    <t>寄一套驱动器以及电机回公司内部验证</t>
  </si>
  <si>
    <t>负载柜动力线以及串口线等长度不够，需要重新做线</t>
  </si>
  <si>
    <t>现场没有电缆线，寄回公司重新做</t>
  </si>
  <si>
    <t>缓存机构较低，载具带产品流通时，会碰到DB头，导致卡载具</t>
  </si>
  <si>
    <t>让结构重做缓存机机构</t>
  </si>
  <si>
    <t>人为导致老化炉内强电探针板烧坏</t>
  </si>
  <si>
    <t>更换新强电测试板。</t>
  </si>
  <si>
    <t>黎佩锋</t>
  </si>
  <si>
    <t>2号对拖柜上电空载的情况下跳闸，已经排查了程控电源，变压器，以及接触器部分，暂未发现异常，但是回路的L3-1线号不接的情况下就不会跳闸</t>
  </si>
  <si>
    <t>L2-1与L3-1互换之后未发现跳闸，不确定负载的情况下是否会有其他异常</t>
  </si>
  <si>
    <t>所有提供的产品已经调试完毕，后期到货的产品只能由客户自己调试，目前都已培训完毕。</t>
  </si>
  <si>
    <t>所有提供的产品已经调试完毕，后期到货的产品只能由客户自己调试，目前都已培训完毕，</t>
  </si>
  <si>
    <t>龙光传</t>
  </si>
  <si>
    <t>设备比尾板超长，无法直接从尾板卸货</t>
  </si>
  <si>
    <t>厂外寻找机动叉车卸货，货仓周末不上班暂未入库</t>
  </si>
  <si>
    <t>常雄</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</si>
</sst>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m&quot;月&quot;d&quot;日&quot;;@"/>
    <numFmt numFmtId="178" formatCode="0.0%"/>
    <numFmt numFmtId="179" formatCode="\¥#,##0.00;\¥\-#,##0.00"/>
  </numFmts>
  <fonts count="45">
    <font>
      <sz val="11"/>
      <color theme="1"/>
      <name val="等线"/>
      <charset val="134"/>
      <scheme val="minor"/>
    </font>
    <font>
      <b/>
      <sz val="11"/>
      <name val="等线"/>
      <charset val="134"/>
      <scheme val="minor"/>
    </font>
    <font>
      <sz val="11"/>
      <name val="等线"/>
      <charset val="134"/>
      <scheme val="minor"/>
    </font>
    <font>
      <b/>
      <sz val="24"/>
      <name val="宋体"/>
      <charset val="134"/>
    </font>
    <font>
      <b/>
      <sz val="12"/>
      <name val="宋体"/>
      <charset val="134"/>
    </font>
    <font>
      <sz val="12"/>
      <color theme="1"/>
      <name val="宋体"/>
      <charset val="134"/>
    </font>
    <font>
      <b/>
      <sz val="11"/>
      <name val="宋体"/>
      <charset val="134"/>
    </font>
    <font>
      <sz val="11"/>
      <color rgb="FF000000"/>
      <name val="宋体"/>
      <charset val="134"/>
    </font>
    <font>
      <sz val="11"/>
      <name val="宋体"/>
      <charset val="134"/>
    </font>
    <font>
      <sz val="11"/>
      <color theme="1"/>
      <name val="宋体"/>
      <charset val="134"/>
    </font>
    <font>
      <b/>
      <sz val="11"/>
      <name val="微软雅黑"/>
      <charset val="134"/>
    </font>
    <font>
      <sz val="10"/>
      <name val="微软雅黑"/>
      <charset val="134"/>
    </font>
    <font>
      <sz val="12"/>
      <name val="等线"/>
      <charset val="134"/>
      <scheme val="minor"/>
    </font>
    <font>
      <sz val="10"/>
      <name val="等线"/>
      <charset val="134"/>
      <scheme val="minor"/>
    </font>
    <font>
      <sz val="12"/>
      <name val="宋体"/>
      <charset val="134"/>
    </font>
    <font>
      <sz val="12"/>
      <color rgb="FF000000"/>
      <name val="宋体"/>
      <charset val="134"/>
    </font>
    <font>
      <sz val="9"/>
      <name val="宋体"/>
      <charset val="134"/>
    </font>
    <font>
      <sz val="9"/>
      <color theme="1"/>
      <name val="宋体"/>
      <charset val="134"/>
    </font>
    <font>
      <sz val="10"/>
      <name val="宋体"/>
      <charset val="134"/>
    </font>
    <font>
      <sz val="9"/>
      <color rgb="FF000000"/>
      <name val="宋体"/>
      <charset val="134"/>
    </font>
    <font>
      <b/>
      <sz val="17"/>
      <color theme="1"/>
      <name val="宋体"/>
      <charset val="134"/>
    </font>
    <font>
      <b/>
      <sz val="12"/>
      <color theme="1"/>
      <name val="宋体"/>
      <charset val="134"/>
    </font>
    <font>
      <b/>
      <sz val="11"/>
      <color theme="1"/>
      <name val="宋体"/>
      <charset val="134"/>
    </font>
    <font>
      <u/>
      <sz val="11"/>
      <color rgb="FF800080"/>
      <name val="等线"/>
      <charset val="0"/>
      <scheme val="minor"/>
    </font>
    <font>
      <u/>
      <sz val="11"/>
      <color rgb="FF0000FF"/>
      <name val="等线"/>
      <charset val="0"/>
      <scheme val="minor"/>
    </font>
    <font>
      <b/>
      <sz val="11"/>
      <color theme="1"/>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Times New Roman"/>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style="thin">
        <color rgb="FF000000"/>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2" borderId="19"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20" applyNumberFormat="0" applyFill="0" applyAlignment="0" applyProtection="0">
      <alignment vertical="center"/>
    </xf>
    <xf numFmtId="0" fontId="30" fillId="0" borderId="20" applyNumberFormat="0" applyFill="0" applyAlignment="0" applyProtection="0">
      <alignment vertical="center"/>
    </xf>
    <xf numFmtId="0" fontId="31" fillId="0" borderId="21" applyNumberFormat="0" applyFill="0" applyAlignment="0" applyProtection="0">
      <alignment vertical="center"/>
    </xf>
    <xf numFmtId="0" fontId="31" fillId="0" borderId="0" applyNumberFormat="0" applyFill="0" applyBorder="0" applyAlignment="0" applyProtection="0">
      <alignment vertical="center"/>
    </xf>
    <xf numFmtId="0" fontId="32" fillId="3" borderId="22" applyNumberFormat="0" applyAlignment="0" applyProtection="0">
      <alignment vertical="center"/>
    </xf>
    <xf numFmtId="0" fontId="33" fillId="4" borderId="23" applyNumberFormat="0" applyAlignment="0" applyProtection="0">
      <alignment vertical="center"/>
    </xf>
    <xf numFmtId="0" fontId="34" fillId="4" borderId="22" applyNumberFormat="0" applyAlignment="0" applyProtection="0">
      <alignment vertical="center"/>
    </xf>
    <xf numFmtId="0" fontId="35" fillId="5" borderId="24" applyNumberFormat="0" applyAlignment="0" applyProtection="0">
      <alignment vertical="center"/>
    </xf>
    <xf numFmtId="0" fontId="36" fillId="0" borderId="25" applyNumberFormat="0" applyFill="0" applyAlignment="0" applyProtection="0">
      <alignment vertical="center"/>
    </xf>
    <xf numFmtId="0" fontId="37" fillId="0" borderId="26" applyNumberFormat="0" applyFill="0" applyAlignment="0" applyProtection="0">
      <alignment vertical="center"/>
    </xf>
    <xf numFmtId="0" fontId="38" fillId="6" borderId="0" applyNumberFormat="0" applyBorder="0" applyAlignment="0" applyProtection="0">
      <alignment vertical="center"/>
    </xf>
    <xf numFmtId="0" fontId="39" fillId="7" borderId="0" applyNumberFormat="0" applyBorder="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2" fillId="11" borderId="0" applyNumberFormat="0" applyBorder="0" applyAlignment="0" applyProtection="0">
      <alignment vertical="center"/>
    </xf>
    <xf numFmtId="0" fontId="41"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cellStyleXfs>
  <cellXfs count="145">
    <xf numFmtId="0" fontId="0" fillId="0" borderId="0" xfId="0">
      <alignment vertical="center"/>
    </xf>
    <xf numFmtId="0" fontId="1" fillId="0" borderId="0" xfId="0" applyFont="1" applyFill="1" applyAlignment="1">
      <alignment horizontal="center" vertical="center"/>
    </xf>
    <xf numFmtId="0" fontId="2" fillId="0" borderId="0" xfId="0" applyFont="1" applyFill="1" applyBorder="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center" vertical="center" wrapText="1"/>
    </xf>
    <xf numFmtId="49" fontId="2" fillId="0" borderId="0" xfId="0" applyNumberFormat="1" applyFont="1" applyFill="1" applyAlignment="1">
      <alignment horizontal="center" vertical="center"/>
    </xf>
    <xf numFmtId="0" fontId="2" fillId="0" borderId="0" xfId="0" applyFont="1" applyFill="1" applyAlignment="1">
      <alignment horizontal="left" vertical="center" wrapText="1"/>
    </xf>
    <xf numFmtId="0" fontId="3" fillId="0" borderId="1" xfId="0" applyFont="1" applyFill="1" applyBorder="1" applyAlignment="1">
      <alignment horizontal="center" vertical="center"/>
    </xf>
    <xf numFmtId="0" fontId="3" fillId="0" borderId="2" xfId="0" applyFont="1" applyFill="1" applyBorder="1" applyAlignment="1">
      <alignment horizontal="center" vertical="center"/>
    </xf>
    <xf numFmtId="0" fontId="3" fillId="0" borderId="2" xfId="0" applyFont="1" applyFill="1" applyBorder="1" applyAlignment="1">
      <alignment horizontal="center" vertical="center" wrapText="1"/>
    </xf>
    <xf numFmtId="49" fontId="3" fillId="0" borderId="2" xfId="0" applyNumberFormat="1" applyFont="1" applyFill="1" applyBorder="1" applyAlignment="1">
      <alignment horizontal="center" vertical="center"/>
    </xf>
    <xf numFmtId="0" fontId="4" fillId="0" borderId="3" xfId="0" applyFont="1" applyFill="1" applyBorder="1" applyAlignment="1">
      <alignment horizontal="center" vertical="center"/>
    </xf>
    <xf numFmtId="0" fontId="4" fillId="0" borderId="3" xfId="0" applyFont="1" applyFill="1" applyBorder="1" applyAlignment="1">
      <alignment horizontal="center" vertical="center" wrapText="1"/>
    </xf>
    <xf numFmtId="49" fontId="4" fillId="0" borderId="3" xfId="0" applyNumberFormat="1" applyFont="1" applyFill="1" applyBorder="1" applyAlignment="1">
      <alignment horizontal="center" vertical="center" wrapText="1"/>
    </xf>
    <xf numFmtId="49" fontId="5" fillId="0" borderId="4" xfId="0" applyNumberFormat="1" applyFont="1" applyFill="1" applyBorder="1" applyAlignment="1">
      <alignment vertical="center" wrapText="1"/>
    </xf>
    <xf numFmtId="0" fontId="5" fillId="0" borderId="4" xfId="0" applyFont="1" applyFill="1" applyBorder="1" applyAlignment="1">
      <alignment vertical="center"/>
    </xf>
    <xf numFmtId="0" fontId="1" fillId="0" borderId="0" xfId="0" applyFont="1" applyFill="1" applyBorder="1" applyAlignment="1">
      <alignment horizontal="center" vertical="center"/>
    </xf>
    <xf numFmtId="0" fontId="2"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xf>
    <xf numFmtId="0" fontId="3" fillId="0" borderId="2" xfId="0" applyFont="1" applyFill="1" applyBorder="1" applyAlignment="1">
      <alignment horizontal="left" vertical="center"/>
    </xf>
    <xf numFmtId="176" fontId="6" fillId="0" borderId="3" xfId="0" applyNumberFormat="1" applyFont="1" applyFill="1" applyBorder="1" applyAlignment="1">
      <alignment horizontal="center" vertical="center" wrapText="1"/>
    </xf>
    <xf numFmtId="0" fontId="5" fillId="0" borderId="4" xfId="0" applyFont="1" applyFill="1" applyBorder="1" applyAlignment="1">
      <alignment vertical="center" wrapText="1"/>
    </xf>
    <xf numFmtId="0" fontId="7" fillId="0" borderId="4" xfId="0" applyFont="1" applyBorder="1" applyAlignment="1">
      <alignment horizontal="left" vertical="center" wrapText="1"/>
    </xf>
    <xf numFmtId="0" fontId="7" fillId="0" borderId="4" xfId="0" applyFont="1" applyBorder="1" applyAlignment="1">
      <alignment vertical="center" wrapText="1"/>
    </xf>
    <xf numFmtId="176" fontId="8" fillId="0" borderId="4" xfId="0" applyNumberFormat="1" applyFont="1" applyFill="1" applyBorder="1" applyAlignment="1">
      <alignment vertical="center" wrapText="1"/>
    </xf>
    <xf numFmtId="0" fontId="2" fillId="0" borderId="0" xfId="0" applyFont="1" applyFill="1" applyBorder="1" applyAlignment="1">
      <alignment horizontal="left" vertical="center" wrapText="1"/>
    </xf>
    <xf numFmtId="0" fontId="3" fillId="0" borderId="5" xfId="0" applyFont="1" applyFill="1" applyBorder="1" applyAlignment="1">
      <alignment horizontal="center" vertical="center"/>
    </xf>
    <xf numFmtId="0" fontId="9" fillId="0" borderId="4" xfId="0" applyFont="1" applyFill="1" applyBorder="1" applyAlignment="1">
      <alignment horizontal="center" vertical="center"/>
    </xf>
    <xf numFmtId="0" fontId="9"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9" fillId="0" borderId="4" xfId="0" applyFont="1" applyFill="1" applyBorder="1" applyAlignment="1">
      <alignment vertical="center" wrapText="1"/>
    </xf>
    <xf numFmtId="0" fontId="9" fillId="0" borderId="4" xfId="0" applyFont="1" applyFill="1" applyBorder="1" applyAlignment="1">
      <alignment vertical="center"/>
    </xf>
    <xf numFmtId="0" fontId="2" fillId="0" borderId="4" xfId="0" applyFont="1" applyFill="1" applyBorder="1" applyAlignment="1">
      <alignment horizontal="center" vertical="center"/>
    </xf>
    <xf numFmtId="0" fontId="10" fillId="0" borderId="0" xfId="0" applyFont="1" applyFill="1" applyBorder="1" applyAlignment="1">
      <alignment horizontal="center" vertical="center"/>
    </xf>
    <xf numFmtId="0" fontId="8" fillId="0" borderId="4" xfId="0" applyFont="1" applyFill="1" applyBorder="1" applyAlignment="1">
      <alignment vertical="center"/>
    </xf>
    <xf numFmtId="0" fontId="11" fillId="0" borderId="4" xfId="0" applyFont="1" applyFill="1" applyBorder="1" applyAlignment="1">
      <alignment horizontal="center" vertical="center" wrapText="1"/>
    </xf>
    <xf numFmtId="0" fontId="11" fillId="0" borderId="4" xfId="0" applyFont="1" applyFill="1" applyBorder="1" applyAlignment="1">
      <alignment horizontal="center" vertical="center"/>
    </xf>
    <xf numFmtId="49" fontId="8" fillId="0" borderId="4" xfId="0" applyNumberFormat="1" applyFont="1" applyFill="1" applyBorder="1" applyAlignment="1">
      <alignment horizontal="center" vertical="center" wrapText="1"/>
    </xf>
    <xf numFmtId="49" fontId="8" fillId="0" borderId="6" xfId="0" applyNumberFormat="1" applyFont="1" applyFill="1" applyBorder="1" applyAlignment="1">
      <alignment vertical="center" wrapText="1"/>
    </xf>
    <xf numFmtId="49" fontId="8" fillId="0" borderId="4" xfId="0" applyNumberFormat="1" applyFont="1" applyFill="1" applyBorder="1" applyAlignment="1">
      <alignment vertical="center" wrapText="1"/>
    </xf>
    <xf numFmtId="0" fontId="2" fillId="0" borderId="4" xfId="0" applyFont="1" applyFill="1" applyBorder="1" applyAlignment="1">
      <alignment horizontal="center" vertical="center" wrapText="1"/>
    </xf>
    <xf numFmtId="49" fontId="8" fillId="0" borderId="3" xfId="0" applyNumberFormat="1" applyFont="1" applyFill="1" applyBorder="1" applyAlignment="1">
      <alignment vertical="center" wrapText="1"/>
    </xf>
    <xf numFmtId="0" fontId="8" fillId="0" borderId="3" xfId="0" applyFont="1" applyFill="1" applyBorder="1" applyAlignment="1">
      <alignment horizontal="center" vertical="center" wrapText="1"/>
    </xf>
    <xf numFmtId="49" fontId="8" fillId="0" borderId="3" xfId="0" applyNumberFormat="1" applyFont="1" applyFill="1" applyBorder="1" applyAlignment="1">
      <alignment horizontal="center" vertical="center" wrapText="1"/>
    </xf>
    <xf numFmtId="49" fontId="8" fillId="0" borderId="7" xfId="0" applyNumberFormat="1" applyFont="1" applyFill="1" applyBorder="1" applyAlignment="1">
      <alignment vertical="center" wrapText="1"/>
    </xf>
    <xf numFmtId="0" fontId="8" fillId="0" borderId="7" xfId="0" applyFont="1" applyFill="1" applyBorder="1" applyAlignment="1">
      <alignment horizontal="center" vertical="center" wrapText="1"/>
    </xf>
    <xf numFmtId="49" fontId="8" fillId="0" borderId="7" xfId="0" applyNumberFormat="1" applyFont="1" applyFill="1" applyBorder="1" applyAlignment="1">
      <alignment horizontal="center" vertical="center" wrapText="1"/>
    </xf>
    <xf numFmtId="0" fontId="8" fillId="0" borderId="4" xfId="0" applyFont="1" applyFill="1" applyBorder="1" applyAlignment="1">
      <alignment vertical="center" wrapText="1"/>
    </xf>
    <xf numFmtId="0" fontId="8" fillId="0" borderId="7" xfId="0" applyFont="1" applyFill="1" applyBorder="1" applyAlignment="1">
      <alignment vertical="center"/>
    </xf>
    <xf numFmtId="0" fontId="8" fillId="0" borderId="8" xfId="0" applyFont="1" applyFill="1" applyBorder="1" applyAlignment="1">
      <alignment vertical="center" wrapText="1"/>
    </xf>
    <xf numFmtId="0" fontId="8" fillId="0" borderId="3" xfId="0" applyFont="1" applyFill="1" applyBorder="1" applyAlignment="1">
      <alignment vertical="center" wrapText="1"/>
    </xf>
    <xf numFmtId="0" fontId="8" fillId="0" borderId="3" xfId="0" applyFont="1" applyFill="1" applyBorder="1" applyAlignment="1">
      <alignment vertical="center"/>
    </xf>
    <xf numFmtId="0" fontId="12" fillId="0" borderId="9" xfId="0" applyFont="1" applyFill="1" applyBorder="1" applyAlignment="1">
      <alignment horizontal="center" vertical="center"/>
    </xf>
    <xf numFmtId="0" fontId="8" fillId="0" borderId="10" xfId="0" applyFont="1" applyFill="1" applyBorder="1" applyAlignment="1">
      <alignment horizontal="center" vertical="center" wrapText="1"/>
    </xf>
    <xf numFmtId="0" fontId="8" fillId="0" borderId="3" xfId="0" applyFont="1" applyFill="1" applyBorder="1" applyAlignment="1">
      <alignment horizontal="center" vertical="center"/>
    </xf>
    <xf numFmtId="49" fontId="8" fillId="0" borderId="3" xfId="0" applyNumberFormat="1" applyFont="1" applyFill="1" applyBorder="1" applyAlignment="1">
      <alignment horizontal="center" vertical="center"/>
    </xf>
    <xf numFmtId="0" fontId="8" fillId="0" borderId="4" xfId="0" applyFont="1" applyFill="1" applyBorder="1" applyAlignment="1">
      <alignment horizontal="left" vertical="center" wrapText="1"/>
    </xf>
    <xf numFmtId="176" fontId="8" fillId="0" borderId="4" xfId="0" applyNumberFormat="1" applyFont="1" applyFill="1" applyBorder="1" applyAlignment="1">
      <alignment horizontal="center" vertical="center" wrapText="1"/>
    </xf>
    <xf numFmtId="0" fontId="13" fillId="0" borderId="4" xfId="0" applyFont="1" applyFill="1" applyBorder="1" applyAlignment="1">
      <alignment horizontal="center" vertical="center" wrapText="1"/>
    </xf>
    <xf numFmtId="176" fontId="8" fillId="0" borderId="3" xfId="0" applyNumberFormat="1" applyFont="1" applyFill="1" applyBorder="1" applyAlignment="1">
      <alignment vertical="center" wrapText="1"/>
    </xf>
    <xf numFmtId="0" fontId="13" fillId="0" borderId="4" xfId="0" applyFont="1" applyFill="1" applyBorder="1" applyAlignment="1">
      <alignment horizontal="center" vertical="center"/>
    </xf>
    <xf numFmtId="176" fontId="8" fillId="0" borderId="8" xfId="0" applyNumberFormat="1" applyFont="1" applyFill="1" applyBorder="1" applyAlignment="1">
      <alignment vertical="center" wrapText="1"/>
    </xf>
    <xf numFmtId="0" fontId="8" fillId="0" borderId="7" xfId="0" applyFont="1" applyFill="1" applyBorder="1" applyAlignment="1">
      <alignment vertical="center" wrapText="1"/>
    </xf>
    <xf numFmtId="0" fontId="13" fillId="0" borderId="3" xfId="0" applyFont="1" applyFill="1" applyBorder="1" applyAlignment="1">
      <alignment horizontal="center" vertical="center" wrapText="1"/>
    </xf>
    <xf numFmtId="176" fontId="8" fillId="0" borderId="3" xfId="0" applyNumberFormat="1" applyFont="1" applyFill="1" applyBorder="1" applyAlignment="1">
      <alignment horizontal="center" vertical="center" wrapText="1"/>
    </xf>
    <xf numFmtId="0" fontId="13" fillId="0" borderId="4" xfId="0" applyFont="1" applyFill="1" applyBorder="1" applyAlignment="1">
      <alignment horizontal="left" vertical="center"/>
    </xf>
    <xf numFmtId="0" fontId="13" fillId="0" borderId="4" xfId="0" applyFont="1" applyFill="1" applyBorder="1" applyAlignment="1">
      <alignment horizontal="left" vertical="center" wrapText="1"/>
    </xf>
    <xf numFmtId="0" fontId="8" fillId="0" borderId="8" xfId="0" applyFont="1" applyFill="1" applyBorder="1" applyAlignment="1">
      <alignment vertical="center"/>
    </xf>
    <xf numFmtId="0" fontId="8" fillId="0" borderId="11" xfId="0" applyFont="1" applyFill="1" applyBorder="1" applyAlignment="1">
      <alignment vertical="center" wrapText="1"/>
    </xf>
    <xf numFmtId="0" fontId="8" fillId="0" borderId="10" xfId="0" applyFont="1" applyFill="1" applyBorder="1" applyAlignment="1">
      <alignment horizontal="left" vertical="center" wrapText="1"/>
    </xf>
    <xf numFmtId="0" fontId="8" fillId="0" borderId="10" xfId="0" applyFont="1" applyFill="1" applyBorder="1" applyAlignment="1">
      <alignment horizontal="left" vertical="center"/>
    </xf>
    <xf numFmtId="0" fontId="8" fillId="0" borderId="12" xfId="0" applyFont="1" applyFill="1" applyBorder="1" applyAlignment="1">
      <alignment vertical="center"/>
    </xf>
    <xf numFmtId="0" fontId="8" fillId="0" borderId="13" xfId="0" applyFont="1" applyFill="1" applyBorder="1" applyAlignment="1">
      <alignment vertical="center"/>
    </xf>
    <xf numFmtId="0" fontId="2" fillId="0" borderId="4" xfId="0" applyFont="1" applyFill="1" applyBorder="1" applyAlignment="1">
      <alignment horizontal="left" vertical="center" wrapText="1"/>
    </xf>
    <xf numFmtId="0" fontId="8" fillId="0" borderId="4" xfId="0" applyFont="1" applyFill="1" applyBorder="1" applyAlignment="1">
      <alignment horizontal="center" vertical="center"/>
    </xf>
    <xf numFmtId="0" fontId="1" fillId="0" borderId="4" xfId="0" applyFont="1" applyFill="1" applyBorder="1" applyAlignment="1">
      <alignment horizontal="center" vertical="center"/>
    </xf>
    <xf numFmtId="0" fontId="8" fillId="0" borderId="1" xfId="0" applyFont="1" applyFill="1" applyBorder="1" applyAlignment="1">
      <alignment horizontal="center" vertical="center" wrapText="1"/>
    </xf>
    <xf numFmtId="0" fontId="8" fillId="0" borderId="2" xfId="0" applyFont="1" applyFill="1" applyBorder="1" applyAlignment="1">
      <alignment horizontal="center" vertical="center"/>
    </xf>
    <xf numFmtId="0" fontId="14" fillId="0" borderId="3" xfId="0" applyFont="1" applyFill="1" applyBorder="1" applyAlignment="1">
      <alignment vertical="center"/>
    </xf>
    <xf numFmtId="0" fontId="2" fillId="0" borderId="4" xfId="0" applyFont="1" applyFill="1" applyBorder="1" applyAlignment="1">
      <alignment vertical="center"/>
    </xf>
    <xf numFmtId="0" fontId="8" fillId="0" borderId="5" xfId="0" applyFont="1" applyFill="1" applyBorder="1" applyAlignment="1">
      <alignment horizontal="center" vertical="center"/>
    </xf>
    <xf numFmtId="0" fontId="2" fillId="0" borderId="3" xfId="0" applyFont="1" applyFill="1" applyBorder="1" applyAlignment="1">
      <alignment vertical="center"/>
    </xf>
    <xf numFmtId="0" fontId="6" fillId="0" borderId="4" xfId="0" applyFont="1" applyFill="1" applyBorder="1" applyAlignment="1">
      <alignment horizontal="center" vertical="center"/>
    </xf>
    <xf numFmtId="0" fontId="6" fillId="0" borderId="4" xfId="0" applyFont="1" applyFill="1" applyBorder="1" applyAlignment="1">
      <alignment horizontal="center" vertical="center" wrapText="1"/>
    </xf>
    <xf numFmtId="0" fontId="15" fillId="0" borderId="4" xfId="0" applyFont="1" applyFill="1" applyBorder="1" applyAlignment="1">
      <alignment vertical="center" wrapText="1"/>
    </xf>
    <xf numFmtId="49" fontId="15" fillId="0" borderId="4" xfId="0" applyNumberFormat="1" applyFont="1" applyFill="1" applyBorder="1" applyAlignment="1">
      <alignment horizontal="left" vertical="center" wrapText="1"/>
    </xf>
    <xf numFmtId="49" fontId="15" fillId="0" borderId="4" xfId="0" applyNumberFormat="1" applyFont="1" applyFill="1" applyBorder="1" applyAlignment="1">
      <alignment horizontal="center" vertical="center" wrapText="1"/>
    </xf>
    <xf numFmtId="0" fontId="7" fillId="0" borderId="4" xfId="0" applyFont="1" applyFill="1" applyBorder="1" applyAlignment="1">
      <alignment horizontal="left" vertical="center" wrapText="1"/>
    </xf>
    <xf numFmtId="0" fontId="0" fillId="0" borderId="4" xfId="0" applyFont="1" applyFill="1" applyBorder="1" applyAlignment="1">
      <alignment horizontal="center" vertical="center"/>
    </xf>
    <xf numFmtId="0" fontId="7" fillId="0" borderId="4" xfId="0" applyFont="1" applyFill="1" applyBorder="1" applyAlignment="1">
      <alignment horizontal="center" vertical="center" wrapText="1"/>
    </xf>
    <xf numFmtId="0" fontId="7" fillId="0" borderId="4" xfId="0" applyFont="1" applyFill="1" applyBorder="1" applyAlignment="1">
      <alignment horizontal="left" vertical="center"/>
    </xf>
    <xf numFmtId="0" fontId="0" fillId="0" borderId="4" xfId="0" applyFont="1" applyFill="1" applyBorder="1" applyAlignment="1">
      <alignment vertical="center"/>
    </xf>
    <xf numFmtId="0" fontId="16" fillId="0" borderId="4" xfId="0" applyFont="1" applyFill="1" applyBorder="1" applyAlignment="1">
      <alignment horizontal="center" vertical="center" wrapText="1"/>
    </xf>
    <xf numFmtId="0" fontId="17" fillId="0" borderId="4" xfId="0" applyFont="1" applyFill="1" applyBorder="1" applyAlignment="1">
      <alignment horizontal="center" vertical="center"/>
    </xf>
    <xf numFmtId="0" fontId="14" fillId="0" borderId="4" xfId="0" applyFont="1" applyFill="1" applyBorder="1" applyAlignment="1">
      <alignment vertical="center"/>
    </xf>
    <xf numFmtId="49" fontId="14" fillId="0" borderId="4" xfId="0" applyNumberFormat="1" applyFont="1" applyFill="1" applyBorder="1" applyAlignment="1">
      <alignment vertical="center" wrapText="1"/>
    </xf>
    <xf numFmtId="0" fontId="5" fillId="0" borderId="4" xfId="0" applyFont="1" applyFill="1" applyBorder="1" applyAlignment="1">
      <alignment horizontal="center" vertical="center"/>
    </xf>
    <xf numFmtId="0" fontId="5" fillId="0" borderId="4" xfId="0" applyFont="1" applyFill="1" applyBorder="1" applyAlignment="1">
      <alignment horizontal="center" vertical="center" wrapText="1"/>
    </xf>
    <xf numFmtId="49" fontId="15" fillId="0" borderId="4" xfId="0" applyNumberFormat="1" applyFont="1" applyBorder="1" applyAlignment="1">
      <alignment horizontal="center" vertical="center" wrapText="1"/>
    </xf>
    <xf numFmtId="49" fontId="15" fillId="0" borderId="4" xfId="0" applyNumberFormat="1" applyFont="1" applyBorder="1" applyAlignment="1">
      <alignment vertical="center" wrapText="1"/>
    </xf>
    <xf numFmtId="177" fontId="18" fillId="0" borderId="4" xfId="0" applyNumberFormat="1" applyFont="1" applyFill="1" applyBorder="1" applyAlignment="1">
      <alignment horizontal="left" vertical="center" wrapText="1"/>
    </xf>
    <xf numFmtId="177" fontId="18" fillId="0" borderId="4" xfId="0" applyNumberFormat="1" applyFont="1" applyFill="1" applyBorder="1" applyAlignment="1">
      <alignment horizontal="center" vertical="center" wrapText="1"/>
    </xf>
    <xf numFmtId="0" fontId="7" fillId="0" borderId="4" xfId="0" applyFont="1" applyFill="1" applyBorder="1" applyAlignment="1">
      <alignment vertical="center" wrapText="1"/>
    </xf>
    <xf numFmtId="0" fontId="14" fillId="0" borderId="4" xfId="0" applyFont="1" applyFill="1" applyBorder="1" applyAlignment="1">
      <alignment vertical="center" wrapText="1"/>
    </xf>
    <xf numFmtId="0" fontId="7" fillId="0" borderId="4" xfId="0" applyFont="1" applyBorder="1" applyAlignment="1">
      <alignment horizontal="center" vertical="center" wrapText="1"/>
    </xf>
    <xf numFmtId="49" fontId="15" fillId="0" borderId="4" xfId="0" applyNumberFormat="1" applyFont="1" applyBorder="1" applyAlignment="1">
      <alignment horizontal="left" vertical="center" wrapText="1"/>
    </xf>
    <xf numFmtId="0" fontId="7" fillId="0" borderId="4" xfId="0" applyFont="1" applyBorder="1" applyAlignment="1">
      <alignment horizontal="left" vertical="center"/>
    </xf>
    <xf numFmtId="0" fontId="15" fillId="0" borderId="4" xfId="0" applyFont="1" applyBorder="1" applyAlignment="1">
      <alignment horizontal="left" vertical="center" wrapText="1"/>
    </xf>
    <xf numFmtId="0" fontId="0" fillId="0" borderId="4" xfId="0" applyFont="1" applyFill="1" applyBorder="1" applyAlignment="1">
      <alignment horizontal="center" vertical="center" wrapText="1"/>
    </xf>
    <xf numFmtId="0" fontId="19" fillId="0" borderId="4" xfId="0" applyFont="1" applyBorder="1" applyAlignment="1">
      <alignment horizontal="center" vertical="center"/>
    </xf>
    <xf numFmtId="0" fontId="7" fillId="0" borderId="4" xfId="0" applyFont="1" applyFill="1" applyBorder="1">
      <alignment vertical="center"/>
    </xf>
    <xf numFmtId="49" fontId="15" fillId="0" borderId="4" xfId="0" applyNumberFormat="1" applyFont="1" applyFill="1" applyBorder="1" applyAlignment="1">
      <alignment vertical="center" wrapText="1"/>
    </xf>
    <xf numFmtId="0" fontId="7" fillId="0" borderId="4" xfId="0" applyFont="1" applyFill="1" applyBorder="1" applyAlignment="1">
      <alignment horizontal="center" vertical="center"/>
    </xf>
    <xf numFmtId="0" fontId="8" fillId="0" borderId="4" xfId="0" applyFont="1" applyFill="1" applyBorder="1" applyAlignment="1">
      <alignment horizontal="left" vertical="center"/>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6" xfId="0" applyFont="1" applyBorder="1" applyAlignment="1">
      <alignment horizontal="center" vertical="center" wrapText="1"/>
    </xf>
    <xf numFmtId="0" fontId="21" fillId="0" borderId="17" xfId="0" applyFont="1" applyFill="1" applyBorder="1" applyAlignment="1">
      <alignment horizontal="center" vertical="center" wrapText="1"/>
    </xf>
    <xf numFmtId="0" fontId="21" fillId="0" borderId="4"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21" fillId="0" borderId="5" xfId="0" applyFont="1" applyFill="1" applyBorder="1" applyAlignment="1">
      <alignment horizontal="center" vertical="center" wrapText="1"/>
    </xf>
    <xf numFmtId="0" fontId="22" fillId="0" borderId="4" xfId="0" applyFont="1" applyFill="1" applyBorder="1" applyAlignment="1">
      <alignment horizontal="center" vertical="center" wrapText="1"/>
    </xf>
    <xf numFmtId="0" fontId="22" fillId="0" borderId="18" xfId="0" applyFont="1" applyFill="1" applyBorder="1" applyAlignment="1">
      <alignment horizontal="center" vertical="center" wrapText="1"/>
    </xf>
    <xf numFmtId="0" fontId="23" fillId="0" borderId="4" xfId="6" applyFont="1" applyFill="1" applyBorder="1" applyAlignment="1">
      <alignment horizontal="center" vertical="center"/>
    </xf>
    <xf numFmtId="0" fontId="2" fillId="0" borderId="4" xfId="0" applyFont="1" applyBorder="1" applyAlignment="1">
      <alignment horizontal="center" vertical="center"/>
    </xf>
    <xf numFmtId="178" fontId="8" fillId="0" borderId="4" xfId="0" applyNumberFormat="1" applyFont="1" applyFill="1" applyBorder="1" applyAlignment="1">
      <alignment horizontal="center" vertical="center" wrapText="1"/>
    </xf>
    <xf numFmtId="0" fontId="8" fillId="0" borderId="4" xfId="0" applyNumberFormat="1" applyFont="1" applyFill="1" applyBorder="1" applyAlignment="1" applyProtection="1">
      <alignment horizontal="center" vertical="center"/>
    </xf>
    <xf numFmtId="178" fontId="2" fillId="0" borderId="4" xfId="0" applyNumberFormat="1" applyFont="1" applyBorder="1" applyAlignment="1">
      <alignment horizontal="center" vertical="center"/>
    </xf>
    <xf numFmtId="178" fontId="0" fillId="0" borderId="3" xfId="0" applyNumberFormat="1" applyBorder="1" applyAlignment="1">
      <alignment horizontal="center" vertical="center"/>
    </xf>
    <xf numFmtId="0" fontId="24" fillId="0" borderId="4" xfId="6" applyFill="1" applyBorder="1" applyAlignment="1">
      <alignment horizontal="center" vertical="center"/>
    </xf>
    <xf numFmtId="178" fontId="0" fillId="0" borderId="8" xfId="0" applyNumberFormat="1" applyBorder="1" applyAlignment="1">
      <alignment horizontal="center" vertical="center"/>
    </xf>
    <xf numFmtId="0" fontId="0" fillId="0" borderId="4" xfId="0" applyFill="1" applyBorder="1" applyAlignment="1">
      <alignment horizontal="center" vertical="center"/>
    </xf>
    <xf numFmtId="0" fontId="0" fillId="0" borderId="4" xfId="0" applyBorder="1" applyAlignment="1">
      <alignment horizontal="center" vertical="center"/>
    </xf>
    <xf numFmtId="0" fontId="23" fillId="0" borderId="4" xfId="6" applyFont="1" applyBorder="1" applyAlignment="1">
      <alignment horizontal="center" vertical="center"/>
    </xf>
    <xf numFmtId="178" fontId="0" fillId="0" borderId="7" xfId="0" applyNumberFormat="1" applyBorder="1" applyAlignment="1">
      <alignment horizontal="center" vertical="center"/>
    </xf>
    <xf numFmtId="178" fontId="0" fillId="0" borderId="0" xfId="0" applyNumberFormat="1">
      <alignment vertical="center"/>
    </xf>
    <xf numFmtId="0" fontId="25" fillId="0" borderId="0" xfId="0" applyFont="1">
      <alignment vertical="center"/>
    </xf>
    <xf numFmtId="179" fontId="4" fillId="0" borderId="3" xfId="0" applyNumberFormat="1" applyFont="1" applyFill="1" applyBorder="1" applyAlignment="1">
      <alignment horizontal="center" vertical="center"/>
    </xf>
    <xf numFmtId="179" fontId="8" fillId="0" borderId="4" xfId="0" applyNumberFormat="1" applyFont="1" applyFill="1" applyBorder="1" applyAlignment="1">
      <alignment horizontal="center" vertical="center"/>
    </xf>
    <xf numFmtId="14" fontId="8" fillId="0" borderId="4" xfId="0" applyNumberFormat="1" applyFont="1" applyFill="1" applyBorder="1" applyAlignment="1">
      <alignment horizontal="center" vertical="center"/>
    </xf>
    <xf numFmtId="179" fontId="2" fillId="0" borderId="4" xfId="0" applyNumberFormat="1" applyFont="1" applyFill="1" applyBorder="1" applyAlignment="1">
      <alignment horizontal="center" vertical="center"/>
    </xf>
    <xf numFmtId="14" fontId="2" fillId="0" borderId="4" xfId="0" applyNumberFormat="1" applyFont="1" applyFill="1" applyBorder="1" applyAlignment="1">
      <alignment horizontal="center" vertical="center"/>
    </xf>
    <xf numFmtId="0" fontId="12" fillId="0" borderId="10" xfId="0" applyFont="1" applyFill="1" applyBorder="1" applyAlignment="1">
      <alignment horizontal="center" vertical="center"/>
    </xf>
    <xf numFmtId="179" fontId="8" fillId="0" borderId="3" xfId="0" applyNumberFormat="1" applyFont="1" applyFill="1" applyBorder="1" applyAlignment="1">
      <alignment horizontal="center" vertical="center"/>
    </xf>
    <xf numFmtId="14" fontId="8" fillId="0" borderId="3"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00B050"/>
      </font>
    </dxf>
    <dxf>
      <font>
        <color rgb="FFFF0000"/>
      </font>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a:latin typeface="微软雅黑" panose="020B0503020204020204" charset="-122"/>
                <a:ea typeface="微软雅黑" panose="020B0503020204020204" charset="-122"/>
                <a:cs typeface="微软雅黑" panose="020B0503020204020204" charset="-122"/>
              </a:rPr>
              <a:t>Q1现场问题分析</a:t>
            </a:r>
            <a:endParaRPr>
              <a:latin typeface="微软雅黑" panose="020B0503020204020204" charset="-122"/>
              <a:ea typeface="微软雅黑" panose="020B0503020204020204" charset="-122"/>
              <a:cs typeface="微软雅黑" panose="020B0503020204020204" charset="-122"/>
            </a:endParaRPr>
          </a:p>
        </c:rich>
      </c:tx>
      <c:layout/>
      <c:overlay val="0"/>
      <c:spPr>
        <a:noFill/>
        <a:ln>
          <a:noFill/>
        </a:ln>
        <a:effectLst/>
      </c:spPr>
    </c:title>
    <c:autoTitleDeleted val="0"/>
    <c:plotArea>
      <c:layout/>
      <c:pieChart>
        <c:varyColors val="1"/>
        <c:ser>
          <c:idx val="0"/>
          <c:order val="0"/>
          <c:tx>
            <c:strRef>
              <c:f>汇总!$B$2</c:f>
              <c:strCache>
                <c:ptCount val="1"/>
                <c:pt idx="0">
                  <c:v>问题点数量</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Lbls>
            <c:dLbl>
              <c:idx val="0"/>
              <c:layout>
                <c:manualLayout>
                  <c:x val="0.0658895466131452"/>
                  <c:y val="0.0356363032882199"/>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4"/>
              <c:layout>
                <c:manualLayout>
                  <c:x val="-0.0466697395713298"/>
                  <c:y val="0"/>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6"/>
              <c:layout>
                <c:manualLayout>
                  <c:x val="-0.0649004403225224"/>
                  <c:y val="0.0473205988107894"/>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7"/>
              <c:layout>
                <c:manualLayout>
                  <c:x val="-0.0301997800536212"/>
                  <c:y val="-0.0234420785309631"/>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0764996629970793"/>
                      <c:h val="0.108028911896855"/>
                    </c:manualLayout>
                  </c15:layout>
                </c:ext>
              </c:extLst>
            </c:dLbl>
            <c:dLbl>
              <c:idx val="8"/>
              <c:layout>
                <c:manualLayout>
                  <c:x val="0.0421253650864974"/>
                  <c:y val="-0.0322328579800742"/>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0"/>
            <c:showCatName val="1"/>
            <c:showSerName val="0"/>
            <c:showPercent val="1"/>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汇总!$A$3:$A$11</c:f>
              <c:strCache>
                <c:ptCount val="9"/>
                <c:pt idx="0">
                  <c:v>客户</c:v>
                </c:pt>
                <c:pt idx="1">
                  <c:v>采购</c:v>
                </c:pt>
                <c:pt idx="2">
                  <c:v>生产</c:v>
                </c:pt>
                <c:pt idx="3">
                  <c:v>电气</c:v>
                </c:pt>
                <c:pt idx="4">
                  <c:v>测试</c:v>
                </c:pt>
                <c:pt idx="5">
                  <c:v>机械</c:v>
                </c:pt>
                <c:pt idx="6">
                  <c:v>研发</c:v>
                </c:pt>
                <c:pt idx="7">
                  <c:v>销售</c:v>
                </c:pt>
                <c:pt idx="8">
                  <c:v>PMC</c:v>
                </c:pt>
              </c:strCache>
            </c:strRef>
          </c:cat>
          <c:val>
            <c:numRef>
              <c:f>汇总!$B$3:$B$11</c:f>
              <c:numCache>
                <c:formatCode>General</c:formatCode>
                <c:ptCount val="9"/>
                <c:pt idx="0">
                  <c:v>12</c:v>
                </c:pt>
                <c:pt idx="1">
                  <c:v>55</c:v>
                </c:pt>
                <c:pt idx="2">
                  <c:v>36</c:v>
                </c:pt>
                <c:pt idx="3">
                  <c:v>41</c:v>
                </c:pt>
                <c:pt idx="4">
                  <c:v>62</c:v>
                </c:pt>
                <c:pt idx="5">
                  <c:v>142</c:v>
                </c:pt>
                <c:pt idx="6">
                  <c:v>7</c:v>
                </c:pt>
                <c:pt idx="7">
                  <c:v>1</c:v>
                </c:pt>
                <c:pt idx="8">
                  <c:v>1</c:v>
                </c:pt>
              </c:numCache>
            </c:numRef>
          </c:val>
        </c:ser>
        <c:dLbls>
          <c:showLegendKey val="0"/>
          <c:showVal val="0"/>
          <c:showCatName val="1"/>
          <c:showSerName val="0"/>
          <c:showPercent val="1"/>
          <c:showBubbleSize val="0"/>
          <c:showLeaderLines val="1"/>
        </c:dLbls>
        <c:firstSliceAng val="0"/>
      </c:pieChart>
      <c:spPr>
        <a:noFill/>
        <a:ln>
          <a:noFill/>
        </a:ln>
        <a:effectLst/>
      </c:spPr>
    </c:plotArea>
    <c:legend>
      <c:legendPos val="t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f953cd8-3408-4d0e-92c7-f652f3f23355}"/>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a:latin typeface="微软雅黑" panose="020B0503020204020204" charset="-122"/>
                <a:ea typeface="微软雅黑" panose="020B0503020204020204" charset="-122"/>
                <a:cs typeface="微软雅黑" panose="020B0503020204020204" charset="-122"/>
              </a:rPr>
              <a:t>Q1按项目量不良率</a:t>
            </a:r>
            <a:endParaRPr lang="en-US" altLang="zh-CN">
              <a:latin typeface="微软雅黑" panose="020B0503020204020204" charset="-122"/>
              <a:ea typeface="微软雅黑" panose="020B0503020204020204" charset="-122"/>
              <a:cs typeface="微软雅黑" panose="020B0503020204020204" charset="-122"/>
            </a:endParaRPr>
          </a:p>
        </c:rich>
      </c:tx>
      <c:layout>
        <c:manualLayout>
          <c:xMode val="edge"/>
          <c:yMode val="edge"/>
          <c:x val="0.303618421052632"/>
          <c:y val="0.0380622837370242"/>
        </c:manualLayout>
      </c:layout>
      <c:overlay val="0"/>
      <c:spPr>
        <a:noFill/>
        <a:ln>
          <a:noFill/>
        </a:ln>
        <a:effectLst/>
      </c:spPr>
    </c:title>
    <c:autoTitleDeleted val="0"/>
    <c:plotArea>
      <c:layout/>
      <c:pieChart>
        <c:varyColors val="1"/>
        <c:ser>
          <c:idx val="0"/>
          <c:order val="0"/>
          <c:tx>
            <c:strRef>
              <c:f>汇总!$D$2</c:f>
              <c:strCache>
                <c:ptCount val="1"/>
                <c:pt idx="0">
                  <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Lbls>
            <c:dLbl>
              <c:idx val="0"/>
              <c:layout>
                <c:manualLayout>
                  <c:x val="0.0642710153558805"/>
                  <c:y val="0.0401374104075661"/>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6"/>
              <c:layout>
                <c:manualLayout>
                  <c:x val="-0.0780261735401997"/>
                  <c:y val="0.0298910047075788"/>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7"/>
              <c:layout>
                <c:manualLayout>
                  <c:x val="-0.0442297033937482"/>
                  <c:y val="-0.0112048857033801"/>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8"/>
              <c:layout>
                <c:manualLayout>
                  <c:x val="0.0429848693259973"/>
                  <c:y val="-0.0136986301369863"/>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汇总!$A$3:$A$11</c:f>
              <c:strCache>
                <c:ptCount val="9"/>
                <c:pt idx="0">
                  <c:v>客户</c:v>
                </c:pt>
                <c:pt idx="1">
                  <c:v>采购</c:v>
                </c:pt>
                <c:pt idx="2">
                  <c:v>生产</c:v>
                </c:pt>
                <c:pt idx="3">
                  <c:v>电气</c:v>
                </c:pt>
                <c:pt idx="4">
                  <c:v>测试</c:v>
                </c:pt>
                <c:pt idx="5">
                  <c:v>机械</c:v>
                </c:pt>
                <c:pt idx="6">
                  <c:v>研发</c:v>
                </c:pt>
                <c:pt idx="7">
                  <c:v>销售</c:v>
                </c:pt>
                <c:pt idx="8">
                  <c:v>PMC</c:v>
                </c:pt>
              </c:strCache>
            </c:strRef>
          </c:cat>
          <c:val>
            <c:numRef>
              <c:f>汇总!$D$3:$D$11</c:f>
              <c:numCache>
                <c:formatCode>0.0%</c:formatCode>
                <c:ptCount val="9"/>
                <c:pt idx="0">
                  <c:v>0.181818181818182</c:v>
                </c:pt>
                <c:pt idx="1">
                  <c:v>0.833333333333333</c:v>
                </c:pt>
                <c:pt idx="2">
                  <c:v>0.545454545454545</c:v>
                </c:pt>
                <c:pt idx="3">
                  <c:v>0.621212121212121</c:v>
                </c:pt>
                <c:pt idx="4">
                  <c:v>0.939393939393939</c:v>
                </c:pt>
                <c:pt idx="5">
                  <c:v>2.15151515151515</c:v>
                </c:pt>
                <c:pt idx="6">
                  <c:v>0.106060606060606</c:v>
                </c:pt>
                <c:pt idx="7">
                  <c:v>0.0714285714285714</c:v>
                </c:pt>
                <c:pt idx="8">
                  <c:v>0.04</c:v>
                </c:pt>
              </c:numCache>
            </c:numRef>
          </c:val>
        </c:ser>
        <c:dLbls>
          <c:showLegendKey val="0"/>
          <c:showVal val="1"/>
          <c:showCatName val="1"/>
          <c:showSerName val="0"/>
          <c:showPercent val="0"/>
          <c:showBubbleSize val="0"/>
          <c:showLeaderLines val="1"/>
        </c:dLbls>
        <c:firstSliceAng val="0"/>
      </c:pieChart>
      <c:spPr>
        <a:noFill/>
        <a:ln>
          <a:noFill/>
        </a:ln>
        <a:effectLst/>
      </c:spPr>
    </c:plotArea>
    <c:legend>
      <c:legendPos val="t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6378b85-58b3-4732-9692-8ab2c8f62896}"/>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a:latin typeface="微软雅黑" panose="020B0503020204020204" charset="-122"/>
                <a:ea typeface="微软雅黑" panose="020B0503020204020204" charset="-122"/>
                <a:cs typeface="微软雅黑" panose="020B0503020204020204" charset="-122"/>
              </a:rPr>
              <a:t>Q1按设备量不良率</a:t>
            </a:r>
            <a:endParaRPr lang="en-US" altLang="zh-CN">
              <a:latin typeface="微软雅黑" panose="020B0503020204020204" charset="-122"/>
              <a:ea typeface="微软雅黑" panose="020B0503020204020204" charset="-122"/>
              <a:cs typeface="微软雅黑" panose="020B0503020204020204" charset="-122"/>
            </a:endParaRPr>
          </a:p>
        </c:rich>
      </c:tx>
      <c:layout>
        <c:manualLayout>
          <c:xMode val="edge"/>
          <c:yMode val="edge"/>
          <c:x val="0.368715083798883"/>
          <c:y val="0.0221443070677247"/>
        </c:manualLayout>
      </c:layout>
      <c:overlay val="0"/>
      <c:spPr>
        <a:noFill/>
        <a:ln>
          <a:noFill/>
        </a:ln>
        <a:effectLst/>
      </c:spPr>
    </c:title>
    <c:autoTitleDeleted val="0"/>
    <c:plotArea>
      <c:layout>
        <c:manualLayout>
          <c:layoutTarget val="inner"/>
          <c:xMode val="edge"/>
          <c:yMode val="edge"/>
          <c:x val="0.290571551353674"/>
          <c:y val="0.228389001660823"/>
          <c:w val="0.405964761495488"/>
          <c:h val="0.697309466691271"/>
        </c:manualLayout>
      </c:layout>
      <c:pieChart>
        <c:varyColors val="1"/>
        <c:ser>
          <c:idx val="0"/>
          <c:order val="0"/>
          <c:tx>
            <c:strRef>
              <c:f>汇总!$F$2</c:f>
              <c:strCache>
                <c:ptCount val="1"/>
                <c:pt idx="0">
                  <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Lbls>
            <c:dLbl>
              <c:idx val="0"/>
              <c:layout>
                <c:manualLayout>
                  <c:x val="0.0667284067602408"/>
                  <c:y val="0.0444265469121586"/>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4"/>
              <c:layout>
                <c:manualLayout>
                  <c:x val="-0.0453947368421053"/>
                  <c:y val="0"/>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6"/>
              <c:layout>
                <c:manualLayout>
                  <c:x val="-0.0524549694994249"/>
                  <c:y val="0.0251568562207789"/>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7"/>
              <c:layout>
                <c:manualLayout>
                  <c:x val="-0.00604742948906422"/>
                  <c:y val="-0.014543681856720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8"/>
              <c:layout>
                <c:manualLayout>
                  <c:x val="0.0402879243661367"/>
                  <c:y val="-0.0138401919173278"/>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汇总!$A$3:$A$11</c:f>
              <c:strCache>
                <c:ptCount val="9"/>
                <c:pt idx="0">
                  <c:v>客户</c:v>
                </c:pt>
                <c:pt idx="1">
                  <c:v>采购</c:v>
                </c:pt>
                <c:pt idx="2">
                  <c:v>生产</c:v>
                </c:pt>
                <c:pt idx="3">
                  <c:v>电气</c:v>
                </c:pt>
                <c:pt idx="4">
                  <c:v>测试</c:v>
                </c:pt>
                <c:pt idx="5">
                  <c:v>机械</c:v>
                </c:pt>
                <c:pt idx="6">
                  <c:v>研发</c:v>
                </c:pt>
                <c:pt idx="7">
                  <c:v>销售</c:v>
                </c:pt>
                <c:pt idx="8">
                  <c:v>PMC</c:v>
                </c:pt>
              </c:strCache>
            </c:strRef>
          </c:cat>
          <c:val>
            <c:numRef>
              <c:f>汇总!$F$3:$F$11</c:f>
              <c:numCache>
                <c:formatCode>0.0%</c:formatCode>
                <c:ptCount val="9"/>
                <c:pt idx="0">
                  <c:v>0.0371517027863777</c:v>
                </c:pt>
                <c:pt idx="1">
                  <c:v>0.170278637770898</c:v>
                </c:pt>
                <c:pt idx="2">
                  <c:v>0.111455108359133</c:v>
                </c:pt>
                <c:pt idx="3">
                  <c:v>0.126934984520124</c:v>
                </c:pt>
                <c:pt idx="4">
                  <c:v>0.191950464396285</c:v>
                </c:pt>
                <c:pt idx="5">
                  <c:v>0.439628482972136</c:v>
                </c:pt>
                <c:pt idx="6">
                  <c:v>0.021671826625387</c:v>
                </c:pt>
                <c:pt idx="7">
                  <c:v>0.02</c:v>
                </c:pt>
                <c:pt idx="8">
                  <c:v>0.00606060606060606</c:v>
                </c:pt>
              </c:numCache>
            </c:numRef>
          </c:val>
        </c:ser>
        <c:dLbls>
          <c:showLegendKey val="0"/>
          <c:showVal val="1"/>
          <c:showCatName val="1"/>
          <c:showSerName val="0"/>
          <c:showPercent val="0"/>
          <c:showBubbleSize val="0"/>
          <c:showLeaderLines val="1"/>
        </c:dLbls>
        <c:firstSliceAng val="0"/>
      </c:pieChart>
      <c:spPr>
        <a:noFill/>
        <a:ln>
          <a:noFill/>
        </a:ln>
        <a:effectLst/>
      </c:spPr>
    </c:plotArea>
    <c:legend>
      <c:legendPos val="tr"/>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3fac8ca-dbdd-4a96-91a3-dec61543d79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542925</xdr:colOff>
      <xdr:row>0</xdr:row>
      <xdr:rowOff>66675</xdr:rowOff>
    </xdr:from>
    <xdr:to>
      <xdr:col>17</xdr:col>
      <xdr:colOff>23495</xdr:colOff>
      <xdr:row>11</xdr:row>
      <xdr:rowOff>12065</xdr:rowOff>
    </xdr:to>
    <xdr:graphicFrame>
      <xdr:nvGraphicFramePr>
        <xdr:cNvPr id="2" name="图表 1"/>
        <xdr:cNvGraphicFramePr/>
      </xdr:nvGraphicFramePr>
      <xdr:xfrm>
        <a:off x="7419975" y="66675"/>
        <a:ext cx="5652770" cy="33743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10795</xdr:colOff>
      <xdr:row>14</xdr:row>
      <xdr:rowOff>123825</xdr:rowOff>
    </xdr:from>
    <xdr:to>
      <xdr:col>6</xdr:col>
      <xdr:colOff>368935</xdr:colOff>
      <xdr:row>33</xdr:row>
      <xdr:rowOff>161925</xdr:rowOff>
    </xdr:to>
    <xdr:graphicFrame>
      <xdr:nvGraphicFramePr>
        <xdr:cNvPr id="3" name="图表 2"/>
        <xdr:cNvGraphicFramePr/>
      </xdr:nvGraphicFramePr>
      <xdr:xfrm>
        <a:off x="10795" y="4156075"/>
        <a:ext cx="5539740" cy="34766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625475</xdr:colOff>
      <xdr:row>14</xdr:row>
      <xdr:rowOff>19050</xdr:rowOff>
    </xdr:from>
    <xdr:to>
      <xdr:col>17</xdr:col>
      <xdr:colOff>363855</xdr:colOff>
      <xdr:row>33</xdr:row>
      <xdr:rowOff>21590</xdr:rowOff>
    </xdr:to>
    <xdr:graphicFrame>
      <xdr:nvGraphicFramePr>
        <xdr:cNvPr id="4" name="图表 3"/>
        <xdr:cNvGraphicFramePr/>
      </xdr:nvGraphicFramePr>
      <xdr:xfrm>
        <a:off x="7502525" y="4051300"/>
        <a:ext cx="5910580" cy="34410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0"/>
  <sheetViews>
    <sheetView workbookViewId="0">
      <pane xSplit="1" ySplit="2" topLeftCell="B3" activePane="bottomRight" state="frozen"/>
      <selection/>
      <selection pane="topRight"/>
      <selection pane="bottomLeft"/>
      <selection pane="bottomRight" activeCell="F10" sqref="F10"/>
    </sheetView>
  </sheetViews>
  <sheetFormatPr defaultColWidth="11" defaultRowHeight="14.25"/>
  <cols>
    <col min="1" max="1" width="11" style="1"/>
    <col min="2" max="2" width="11" style="3"/>
    <col min="3" max="3" width="11" style="4"/>
    <col min="4" max="4" width="21.2166666666667" style="4" customWidth="1"/>
    <col min="5" max="5" width="14.1666666666667" style="3" customWidth="1"/>
    <col min="6" max="6" width="11" style="3"/>
    <col min="7" max="7" width="15" style="3" hidden="1" customWidth="1"/>
    <col min="8" max="10" width="11" style="3" hidden="1" customWidth="1"/>
    <col min="11" max="11" width="14.5" style="5"/>
    <col min="12" max="12" width="11.2083333333333" style="3"/>
    <col min="13" max="14" width="11" style="3"/>
    <col min="15" max="15" width="31.6416666666667" style="6" customWidth="1"/>
    <col min="16" max="16" width="40.6416666666667" style="6" customWidth="1"/>
    <col min="17" max="18" width="9.1" style="4"/>
    <col min="19" max="19" width="15" style="3" customWidth="1"/>
    <col min="20" max="20" width="10.6416666666667" style="3" customWidth="1"/>
    <col min="21" max="22" width="9.1" style="3"/>
    <col min="23" max="23" width="17.425" style="4" customWidth="1"/>
    <col min="24" max="16384" width="11" style="3"/>
  </cols>
  <sheetData>
    <row r="1" s="1" customFormat="1" ht="31.5" spans="1:23">
      <c r="A1" s="7" t="s">
        <v>0</v>
      </c>
      <c r="B1" s="8"/>
      <c r="C1" s="9"/>
      <c r="D1" s="9"/>
      <c r="E1" s="8"/>
      <c r="F1" s="8"/>
      <c r="G1" s="8"/>
      <c r="H1" s="8"/>
      <c r="I1" s="8"/>
      <c r="J1" s="8"/>
      <c r="K1" s="10"/>
      <c r="L1" s="8"/>
      <c r="M1" s="8"/>
      <c r="N1" s="8"/>
      <c r="O1" s="19"/>
      <c r="P1" s="19"/>
      <c r="Q1" s="8"/>
      <c r="R1" s="8"/>
      <c r="S1" s="8"/>
      <c r="T1" s="8"/>
      <c r="U1" s="8"/>
      <c r="V1" s="8"/>
      <c r="W1" s="26"/>
    </row>
    <row r="2" s="1" customFormat="1" ht="42.75" spans="1:23">
      <c r="A2" s="11" t="s">
        <v>1</v>
      </c>
      <c r="B2" s="12" t="s">
        <v>2</v>
      </c>
      <c r="C2" s="12" t="s">
        <v>3</v>
      </c>
      <c r="D2" s="13" t="s">
        <v>4</v>
      </c>
      <c r="E2" s="11" t="s">
        <v>5</v>
      </c>
      <c r="F2" s="12" t="s">
        <v>6</v>
      </c>
      <c r="G2" s="137" t="s">
        <v>7</v>
      </c>
      <c r="H2" s="11" t="s">
        <v>8</v>
      </c>
      <c r="I2" s="11" t="s">
        <v>9</v>
      </c>
      <c r="J2" s="12" t="s">
        <v>10</v>
      </c>
      <c r="K2" s="13" t="s">
        <v>11</v>
      </c>
      <c r="L2" s="12" t="s">
        <v>12</v>
      </c>
      <c r="M2" s="12" t="s">
        <v>13</v>
      </c>
      <c r="N2" s="12" t="s">
        <v>14</v>
      </c>
      <c r="O2" s="20" t="s">
        <v>15</v>
      </c>
      <c r="P2" s="20" t="s">
        <v>16</v>
      </c>
      <c r="Q2" s="20" t="s">
        <v>17</v>
      </c>
      <c r="R2" s="20" t="s">
        <v>18</v>
      </c>
      <c r="S2" s="20" t="s">
        <v>19</v>
      </c>
      <c r="T2" s="20" t="s">
        <v>20</v>
      </c>
      <c r="U2" s="20" t="s">
        <v>21</v>
      </c>
      <c r="V2" s="20" t="s">
        <v>22</v>
      </c>
      <c r="W2" s="20" t="s">
        <v>23</v>
      </c>
    </row>
    <row r="3" s="32" customFormat="1" ht="67.5" spans="1:23">
      <c r="A3" s="34" t="s">
        <v>24</v>
      </c>
      <c r="B3" s="29" t="s">
        <v>25</v>
      </c>
      <c r="C3" s="29" t="s">
        <v>26</v>
      </c>
      <c r="D3" s="35" t="s">
        <v>27</v>
      </c>
      <c r="E3" s="36" t="s">
        <v>28</v>
      </c>
      <c r="F3" s="29">
        <v>1</v>
      </c>
      <c r="G3" s="138"/>
      <c r="H3" s="139"/>
      <c r="I3" s="139"/>
      <c r="J3" s="74"/>
      <c r="K3" s="37" t="s">
        <v>29</v>
      </c>
      <c r="L3" s="29">
        <v>18</v>
      </c>
      <c r="M3" s="29">
        <v>1</v>
      </c>
      <c r="N3" s="47" t="s">
        <v>30</v>
      </c>
      <c r="O3" s="40" t="s">
        <v>31</v>
      </c>
      <c r="P3" s="56" t="s">
        <v>32</v>
      </c>
      <c r="Q3" s="57" t="s">
        <v>33</v>
      </c>
      <c r="R3" s="57" t="s">
        <v>34</v>
      </c>
      <c r="S3" s="57" t="s">
        <v>35</v>
      </c>
      <c r="T3" s="57" t="s">
        <v>35</v>
      </c>
      <c r="U3" s="57"/>
      <c r="V3" s="57"/>
      <c r="W3" s="57"/>
    </row>
    <row r="4" s="32" customFormat="1" ht="54" spans="1:23">
      <c r="A4" s="34" t="s">
        <v>24</v>
      </c>
      <c r="B4" s="29" t="s">
        <v>25</v>
      </c>
      <c r="C4" s="29" t="s">
        <v>36</v>
      </c>
      <c r="D4" s="35" t="s">
        <v>37</v>
      </c>
      <c r="E4" s="35" t="s">
        <v>38</v>
      </c>
      <c r="F4" s="29">
        <v>1</v>
      </c>
      <c r="G4" s="138"/>
      <c r="H4" s="139"/>
      <c r="I4" s="139"/>
      <c r="J4" s="74"/>
      <c r="K4" s="37" t="s">
        <v>39</v>
      </c>
      <c r="L4" s="29">
        <v>4</v>
      </c>
      <c r="M4" s="29">
        <v>1</v>
      </c>
      <c r="N4" s="47" t="s">
        <v>40</v>
      </c>
      <c r="O4" s="56" t="s">
        <v>41</v>
      </c>
      <c r="P4" s="56" t="s">
        <v>42</v>
      </c>
      <c r="Q4" s="57" t="s">
        <v>43</v>
      </c>
      <c r="R4" s="57" t="s">
        <v>44</v>
      </c>
      <c r="S4" s="57" t="s">
        <v>45</v>
      </c>
      <c r="T4" s="57" t="s">
        <v>46</v>
      </c>
      <c r="U4" s="57"/>
      <c r="V4" s="57"/>
      <c r="W4" s="57"/>
    </row>
    <row r="5" s="1" customFormat="1" ht="25.5" spans="1:23">
      <c r="A5" s="38" t="s">
        <v>47</v>
      </c>
      <c r="B5" s="39" t="s">
        <v>25</v>
      </c>
      <c r="C5" s="39" t="s">
        <v>48</v>
      </c>
      <c r="D5" s="29" t="s">
        <v>49</v>
      </c>
      <c r="E5" s="29" t="s">
        <v>50</v>
      </c>
      <c r="F5" s="29">
        <v>1</v>
      </c>
      <c r="G5" s="29"/>
      <c r="H5" s="29"/>
      <c r="I5" s="29"/>
      <c r="J5" s="29"/>
      <c r="K5" s="29" t="s">
        <v>51</v>
      </c>
      <c r="L5" s="29">
        <v>18</v>
      </c>
      <c r="M5" s="29">
        <v>1</v>
      </c>
      <c r="N5" s="47" t="s">
        <v>52</v>
      </c>
      <c r="O5" s="58" t="s">
        <v>53</v>
      </c>
      <c r="P5" s="58" t="s">
        <v>54</v>
      </c>
      <c r="Q5" s="57" t="s">
        <v>55</v>
      </c>
      <c r="R5" s="57" t="s">
        <v>56</v>
      </c>
      <c r="S5" s="24" t="s">
        <v>57</v>
      </c>
      <c r="T5" s="59" t="s">
        <v>58</v>
      </c>
      <c r="U5" s="57"/>
      <c r="V5" s="57"/>
      <c r="W5" s="57"/>
    </row>
    <row r="6" s="1" customFormat="1" ht="25.5" spans="1:23">
      <c r="A6" s="38" t="s">
        <v>47</v>
      </c>
      <c r="B6" s="39" t="s">
        <v>25</v>
      </c>
      <c r="C6" s="39" t="s">
        <v>48</v>
      </c>
      <c r="D6" s="29"/>
      <c r="E6" s="29"/>
      <c r="F6" s="29"/>
      <c r="G6" s="29"/>
      <c r="H6" s="29"/>
      <c r="I6" s="29"/>
      <c r="J6" s="29"/>
      <c r="K6" s="29"/>
      <c r="L6" s="29"/>
      <c r="M6" s="29"/>
      <c r="N6" s="47" t="s">
        <v>52</v>
      </c>
      <c r="O6" s="58" t="s">
        <v>59</v>
      </c>
      <c r="P6" s="58" t="s">
        <v>60</v>
      </c>
      <c r="Q6" s="57" t="s">
        <v>61</v>
      </c>
      <c r="R6" s="57" t="s">
        <v>62</v>
      </c>
      <c r="S6" s="24" t="s">
        <v>57</v>
      </c>
      <c r="T6" s="59" t="s">
        <v>58</v>
      </c>
      <c r="U6" s="57"/>
      <c r="V6" s="57"/>
      <c r="W6" s="57"/>
    </row>
    <row r="7" s="1" customFormat="1" ht="38.25" spans="1:23">
      <c r="A7" s="38" t="s">
        <v>47</v>
      </c>
      <c r="B7" s="39" t="s">
        <v>25</v>
      </c>
      <c r="C7" s="39" t="s">
        <v>48</v>
      </c>
      <c r="D7" s="29" t="s">
        <v>63</v>
      </c>
      <c r="E7" s="29" t="s">
        <v>64</v>
      </c>
      <c r="F7" s="29">
        <v>1</v>
      </c>
      <c r="G7" s="29"/>
      <c r="H7" s="29"/>
      <c r="I7" s="29"/>
      <c r="J7" s="29"/>
      <c r="K7" s="37" t="s">
        <v>39</v>
      </c>
      <c r="L7" s="29">
        <v>5</v>
      </c>
      <c r="M7" s="29">
        <v>1</v>
      </c>
      <c r="N7" s="47" t="s">
        <v>52</v>
      </c>
      <c r="O7" s="58" t="s">
        <v>65</v>
      </c>
      <c r="P7" s="58" t="s">
        <v>66</v>
      </c>
      <c r="Q7" s="57" t="s">
        <v>55</v>
      </c>
      <c r="R7" s="57" t="s">
        <v>56</v>
      </c>
      <c r="S7" s="24" t="s">
        <v>57</v>
      </c>
      <c r="T7" s="59" t="s">
        <v>58</v>
      </c>
      <c r="U7" s="74"/>
      <c r="V7" s="74"/>
      <c r="W7" s="29"/>
    </row>
    <row r="8" s="1" customFormat="1" ht="27" spans="1:23">
      <c r="A8" s="38" t="s">
        <v>47</v>
      </c>
      <c r="B8" s="39" t="s">
        <v>25</v>
      </c>
      <c r="C8" s="39" t="s">
        <v>48</v>
      </c>
      <c r="D8" s="29" t="s">
        <v>67</v>
      </c>
      <c r="E8" s="29" t="s">
        <v>68</v>
      </c>
      <c r="F8" s="29">
        <v>1</v>
      </c>
      <c r="G8" s="29"/>
      <c r="H8" s="29"/>
      <c r="I8" s="29"/>
      <c r="J8" s="29"/>
      <c r="K8" s="37" t="s">
        <v>69</v>
      </c>
      <c r="L8" s="29">
        <v>23</v>
      </c>
      <c r="M8" s="29">
        <v>1</v>
      </c>
      <c r="N8" s="47" t="s">
        <v>52</v>
      </c>
      <c r="O8" s="60" t="s">
        <v>70</v>
      </c>
      <c r="P8" s="58" t="s">
        <v>71</v>
      </c>
      <c r="Q8" s="57" t="s">
        <v>55</v>
      </c>
      <c r="R8" s="57" t="s">
        <v>56</v>
      </c>
      <c r="S8" s="24" t="s">
        <v>57</v>
      </c>
      <c r="T8" s="59" t="s">
        <v>58</v>
      </c>
      <c r="U8" s="74"/>
      <c r="V8" s="74"/>
      <c r="W8" s="29"/>
    </row>
    <row r="9" s="1" customFormat="1" spans="1:23">
      <c r="A9" s="38" t="s">
        <v>47</v>
      </c>
      <c r="B9" s="39" t="s">
        <v>25</v>
      </c>
      <c r="C9" s="39" t="s">
        <v>48</v>
      </c>
      <c r="D9" s="40" t="s">
        <v>72</v>
      </c>
      <c r="E9" s="40" t="s">
        <v>73</v>
      </c>
      <c r="F9" s="32">
        <v>1</v>
      </c>
      <c r="G9" s="140"/>
      <c r="H9" s="141"/>
      <c r="I9" s="141"/>
      <c r="J9" s="32"/>
      <c r="K9" s="32">
        <v>2024.6</v>
      </c>
      <c r="L9" s="32">
        <v>29</v>
      </c>
      <c r="M9" s="40">
        <v>1</v>
      </c>
      <c r="N9" s="47" t="s">
        <v>52</v>
      </c>
      <c r="O9" s="58" t="s">
        <v>74</v>
      </c>
      <c r="P9" s="60" t="s">
        <v>75</v>
      </c>
      <c r="Q9" s="57" t="s">
        <v>55</v>
      </c>
      <c r="R9" s="57" t="s">
        <v>56</v>
      </c>
      <c r="S9" s="24" t="s">
        <v>57</v>
      </c>
      <c r="T9" s="59" t="s">
        <v>58</v>
      </c>
      <c r="U9" s="74"/>
      <c r="V9" s="74"/>
      <c r="W9" s="29"/>
    </row>
    <row r="10" s="1" customFormat="1" ht="63.75" spans="1:23">
      <c r="A10" s="38" t="s">
        <v>47</v>
      </c>
      <c r="B10" s="39" t="s">
        <v>25</v>
      </c>
      <c r="C10" s="39" t="s">
        <v>48</v>
      </c>
      <c r="D10" s="29" t="s">
        <v>76</v>
      </c>
      <c r="E10" s="29" t="s">
        <v>77</v>
      </c>
      <c r="F10" s="29">
        <v>1</v>
      </c>
      <c r="G10" s="29"/>
      <c r="H10" s="29"/>
      <c r="I10" s="29"/>
      <c r="J10" s="29"/>
      <c r="K10" s="37" t="s">
        <v>78</v>
      </c>
      <c r="L10" s="29">
        <v>31</v>
      </c>
      <c r="M10" s="29">
        <v>1</v>
      </c>
      <c r="N10" s="47" t="s">
        <v>52</v>
      </c>
      <c r="O10" s="58" t="s">
        <v>79</v>
      </c>
      <c r="P10" s="58" t="s">
        <v>80</v>
      </c>
      <c r="Q10" s="57" t="s">
        <v>81</v>
      </c>
      <c r="R10" s="57" t="s">
        <v>82</v>
      </c>
      <c r="S10" s="24" t="s">
        <v>57</v>
      </c>
      <c r="T10" s="59" t="s">
        <v>58</v>
      </c>
      <c r="U10" s="74"/>
      <c r="V10" s="74"/>
      <c r="W10" s="29"/>
    </row>
    <row r="11" s="1" customFormat="1" ht="40.5" spans="1:23">
      <c r="A11" s="38" t="s">
        <v>47</v>
      </c>
      <c r="B11" s="39" t="s">
        <v>25</v>
      </c>
      <c r="C11" s="39" t="s">
        <v>48</v>
      </c>
      <c r="D11" s="29" t="s">
        <v>83</v>
      </c>
      <c r="E11" s="29" t="s">
        <v>84</v>
      </c>
      <c r="F11" s="29">
        <v>1</v>
      </c>
      <c r="G11" s="29"/>
      <c r="H11" s="29"/>
      <c r="I11" s="29"/>
      <c r="J11" s="29"/>
      <c r="K11" s="37" t="s">
        <v>78</v>
      </c>
      <c r="L11" s="29">
        <v>30</v>
      </c>
      <c r="M11" s="29">
        <v>1</v>
      </c>
      <c r="N11" s="47" t="s">
        <v>52</v>
      </c>
      <c r="O11" s="58" t="s">
        <v>85</v>
      </c>
      <c r="P11" s="58" t="s">
        <v>86</v>
      </c>
      <c r="Q11" s="57" t="s">
        <v>33</v>
      </c>
      <c r="R11" s="57" t="s">
        <v>34</v>
      </c>
      <c r="S11" s="61" t="s">
        <v>57</v>
      </c>
      <c r="T11" s="59" t="s">
        <v>58</v>
      </c>
      <c r="U11" s="74"/>
      <c r="V11" s="74"/>
      <c r="W11" s="29"/>
    </row>
    <row r="12" s="1" customFormat="1" ht="27" spans="1:23">
      <c r="A12" s="38" t="s">
        <v>47</v>
      </c>
      <c r="B12" s="39" t="s">
        <v>25</v>
      </c>
      <c r="C12" s="39" t="s">
        <v>48</v>
      </c>
      <c r="D12" s="29" t="s">
        <v>87</v>
      </c>
      <c r="E12" s="29" t="s">
        <v>88</v>
      </c>
      <c r="F12" s="29">
        <v>1</v>
      </c>
      <c r="G12" s="29"/>
      <c r="H12" s="29"/>
      <c r="I12" s="29"/>
      <c r="J12" s="29"/>
      <c r="K12" s="37" t="s">
        <v>89</v>
      </c>
      <c r="L12" s="29">
        <v>23</v>
      </c>
      <c r="M12" s="29">
        <v>1</v>
      </c>
      <c r="N12" s="47" t="s">
        <v>52</v>
      </c>
      <c r="O12" s="58" t="s">
        <v>90</v>
      </c>
      <c r="P12" s="60" t="s">
        <v>91</v>
      </c>
      <c r="Q12" s="57" t="s">
        <v>92</v>
      </c>
      <c r="R12" s="57" t="s">
        <v>93</v>
      </c>
      <c r="S12" s="61" t="s">
        <v>57</v>
      </c>
      <c r="T12" s="59" t="s">
        <v>58</v>
      </c>
      <c r="U12" s="74"/>
      <c r="V12" s="74"/>
      <c r="W12" s="29"/>
    </row>
    <row r="13" s="1" customFormat="1" ht="27" spans="1:23">
      <c r="A13" s="38" t="s">
        <v>47</v>
      </c>
      <c r="B13" s="39" t="s">
        <v>25</v>
      </c>
      <c r="C13" s="39" t="s">
        <v>48</v>
      </c>
      <c r="D13" s="47" t="s">
        <v>94</v>
      </c>
      <c r="E13" s="47" t="s">
        <v>95</v>
      </c>
      <c r="F13" s="47">
        <v>1</v>
      </c>
      <c r="G13" s="47"/>
      <c r="H13" s="47"/>
      <c r="I13" s="47"/>
      <c r="J13" s="47"/>
      <c r="K13" s="47">
        <v>2022.11</v>
      </c>
      <c r="L13" s="47">
        <v>10</v>
      </c>
      <c r="M13" s="47">
        <v>1</v>
      </c>
      <c r="N13" s="47" t="s">
        <v>52</v>
      </c>
      <c r="O13" s="58" t="s">
        <v>96</v>
      </c>
      <c r="P13" s="60" t="s">
        <v>97</v>
      </c>
      <c r="Q13" s="57" t="s">
        <v>55</v>
      </c>
      <c r="R13" s="57" t="s">
        <v>56</v>
      </c>
      <c r="S13" s="61" t="s">
        <v>57</v>
      </c>
      <c r="T13" s="59" t="s">
        <v>58</v>
      </c>
      <c r="U13" s="74"/>
      <c r="V13" s="74"/>
      <c r="W13" s="29"/>
    </row>
    <row r="14" s="1" customFormat="1" ht="27" spans="1:23">
      <c r="A14" s="38" t="s">
        <v>47</v>
      </c>
      <c r="B14" s="39" t="s">
        <v>25</v>
      </c>
      <c r="C14" s="39" t="s">
        <v>48</v>
      </c>
      <c r="D14" s="47" t="s">
        <v>94</v>
      </c>
      <c r="E14" s="47" t="s">
        <v>95</v>
      </c>
      <c r="F14" s="47">
        <v>1</v>
      </c>
      <c r="G14" s="47"/>
      <c r="H14" s="47"/>
      <c r="I14" s="47"/>
      <c r="J14" s="47"/>
      <c r="K14" s="47">
        <v>2022.11</v>
      </c>
      <c r="L14" s="47">
        <v>10</v>
      </c>
      <c r="M14" s="47">
        <v>1</v>
      </c>
      <c r="N14" s="47" t="s">
        <v>52</v>
      </c>
      <c r="O14" s="63" t="s">
        <v>98</v>
      </c>
      <c r="P14" s="63" t="s">
        <v>99</v>
      </c>
      <c r="Q14" s="64" t="s">
        <v>92</v>
      </c>
      <c r="R14" s="64" t="s">
        <v>93</v>
      </c>
      <c r="S14" s="61" t="s">
        <v>57</v>
      </c>
      <c r="T14" s="59" t="s">
        <v>58</v>
      </c>
      <c r="U14" s="74"/>
      <c r="V14" s="74"/>
      <c r="W14" s="29"/>
    </row>
    <row r="15" s="1" customFormat="1" ht="27" spans="1:23">
      <c r="A15" s="34" t="s">
        <v>100</v>
      </c>
      <c r="B15" s="50" t="s">
        <v>101</v>
      </c>
      <c r="C15" s="50" t="s">
        <v>102</v>
      </c>
      <c r="D15" s="50" t="s">
        <v>103</v>
      </c>
      <c r="E15" s="50" t="s">
        <v>104</v>
      </c>
      <c r="F15" s="50">
        <v>2</v>
      </c>
      <c r="G15" s="50"/>
      <c r="H15" s="50"/>
      <c r="I15" s="50"/>
      <c r="J15" s="50"/>
      <c r="K15" s="50" t="s">
        <v>29</v>
      </c>
      <c r="L15" s="50">
        <v>12</v>
      </c>
      <c r="M15" s="50">
        <v>2</v>
      </c>
      <c r="N15" s="49" t="s">
        <v>30</v>
      </c>
      <c r="O15" s="65" t="s">
        <v>105</v>
      </c>
      <c r="P15" s="65" t="s">
        <v>106</v>
      </c>
      <c r="Q15" s="57" t="s">
        <v>33</v>
      </c>
      <c r="R15" s="29" t="s">
        <v>107</v>
      </c>
      <c r="S15" s="34" t="s">
        <v>57</v>
      </c>
      <c r="T15" s="51" t="s">
        <v>108</v>
      </c>
      <c r="U15" s="74"/>
      <c r="V15" s="74"/>
      <c r="W15" s="29"/>
    </row>
    <row r="16" s="1" customFormat="1" ht="27" spans="1:23">
      <c r="A16" s="34" t="s">
        <v>100</v>
      </c>
      <c r="B16" s="50" t="s">
        <v>101</v>
      </c>
      <c r="C16" s="50" t="s">
        <v>102</v>
      </c>
      <c r="D16" s="50" t="s">
        <v>103</v>
      </c>
      <c r="E16" s="50" t="s">
        <v>104</v>
      </c>
      <c r="F16" s="50">
        <v>2</v>
      </c>
      <c r="G16" s="50"/>
      <c r="H16" s="50"/>
      <c r="I16" s="50"/>
      <c r="J16" s="50"/>
      <c r="K16" s="50" t="s">
        <v>29</v>
      </c>
      <c r="L16" s="50">
        <v>12</v>
      </c>
      <c r="M16" s="50">
        <v>2</v>
      </c>
      <c r="N16" s="49" t="s">
        <v>30</v>
      </c>
      <c r="O16" s="65" t="s">
        <v>109</v>
      </c>
      <c r="P16" s="65" t="s">
        <v>110</v>
      </c>
      <c r="Q16" s="29" t="s">
        <v>33</v>
      </c>
      <c r="R16" s="29" t="s">
        <v>107</v>
      </c>
      <c r="S16" s="34" t="s">
        <v>57</v>
      </c>
      <c r="T16" s="51" t="s">
        <v>108</v>
      </c>
      <c r="U16" s="74"/>
      <c r="V16" s="74"/>
      <c r="W16" s="29"/>
    </row>
    <row r="17" s="1" customFormat="1" ht="15" customHeight="1" spans="1:23">
      <c r="A17" s="34" t="s">
        <v>100</v>
      </c>
      <c r="B17" s="50" t="s">
        <v>101</v>
      </c>
      <c r="C17" s="50" t="s">
        <v>102</v>
      </c>
      <c r="D17" s="50" t="s">
        <v>103</v>
      </c>
      <c r="E17" s="50" t="s">
        <v>104</v>
      </c>
      <c r="F17" s="50">
        <v>2</v>
      </c>
      <c r="G17" s="50"/>
      <c r="H17" s="50"/>
      <c r="I17" s="50"/>
      <c r="J17" s="50"/>
      <c r="K17" s="50" t="s">
        <v>29</v>
      </c>
      <c r="L17" s="50">
        <v>12</v>
      </c>
      <c r="M17" s="50">
        <v>2</v>
      </c>
      <c r="N17" s="49" t="s">
        <v>30</v>
      </c>
      <c r="O17" s="65" t="s">
        <v>111</v>
      </c>
      <c r="P17" s="65" t="s">
        <v>112</v>
      </c>
      <c r="Q17" s="57" t="s">
        <v>55</v>
      </c>
      <c r="R17" s="57" t="s">
        <v>56</v>
      </c>
      <c r="S17" s="34" t="s">
        <v>57</v>
      </c>
      <c r="T17" s="51" t="s">
        <v>108</v>
      </c>
      <c r="U17" s="74"/>
      <c r="V17" s="74"/>
      <c r="W17" s="29"/>
    </row>
    <row r="18" s="1" customFormat="1" ht="27" spans="1:23">
      <c r="A18" s="34" t="s">
        <v>100</v>
      </c>
      <c r="B18" s="50" t="s">
        <v>101</v>
      </c>
      <c r="C18" s="50" t="s">
        <v>102</v>
      </c>
      <c r="D18" s="50" t="s">
        <v>103</v>
      </c>
      <c r="E18" s="50" t="s">
        <v>104</v>
      </c>
      <c r="F18" s="50">
        <v>2</v>
      </c>
      <c r="G18" s="50"/>
      <c r="H18" s="50"/>
      <c r="I18" s="50"/>
      <c r="J18" s="50"/>
      <c r="K18" s="50" t="s">
        <v>29</v>
      </c>
      <c r="L18" s="50">
        <v>12</v>
      </c>
      <c r="M18" s="50">
        <v>2</v>
      </c>
      <c r="N18" s="49" t="s">
        <v>30</v>
      </c>
      <c r="O18" s="65" t="s">
        <v>113</v>
      </c>
      <c r="P18" s="65" t="s">
        <v>114</v>
      </c>
      <c r="Q18" s="57" t="s">
        <v>55</v>
      </c>
      <c r="R18" s="57" t="s">
        <v>56</v>
      </c>
      <c r="S18" s="34" t="s">
        <v>57</v>
      </c>
      <c r="T18" s="51" t="s">
        <v>108</v>
      </c>
      <c r="U18" s="74"/>
      <c r="V18" s="74"/>
      <c r="W18" s="29"/>
    </row>
    <row r="19" s="1" customFormat="1" ht="27" spans="1:23">
      <c r="A19" s="34" t="s">
        <v>100</v>
      </c>
      <c r="B19" s="50" t="s">
        <v>101</v>
      </c>
      <c r="C19" s="50" t="s">
        <v>102</v>
      </c>
      <c r="D19" s="50" t="s">
        <v>103</v>
      </c>
      <c r="E19" s="50" t="s">
        <v>104</v>
      </c>
      <c r="F19" s="50">
        <v>2</v>
      </c>
      <c r="G19" s="50"/>
      <c r="H19" s="50"/>
      <c r="I19" s="50"/>
      <c r="J19" s="50"/>
      <c r="K19" s="50" t="s">
        <v>29</v>
      </c>
      <c r="L19" s="50">
        <v>12</v>
      </c>
      <c r="M19" s="50">
        <v>2</v>
      </c>
      <c r="N19" s="49" t="s">
        <v>30</v>
      </c>
      <c r="O19" s="65" t="s">
        <v>115</v>
      </c>
      <c r="P19" s="65" t="s">
        <v>114</v>
      </c>
      <c r="Q19" s="57" t="s">
        <v>55</v>
      </c>
      <c r="R19" s="57" t="s">
        <v>56</v>
      </c>
      <c r="S19" s="34" t="s">
        <v>57</v>
      </c>
      <c r="T19" s="51" t="s">
        <v>108</v>
      </c>
      <c r="U19" s="74"/>
      <c r="V19" s="74"/>
      <c r="W19" s="29"/>
    </row>
    <row r="20" s="1" customFormat="1" ht="25.5" spans="1:23">
      <c r="A20" s="34" t="s">
        <v>100</v>
      </c>
      <c r="B20" s="29" t="s">
        <v>25</v>
      </c>
      <c r="C20" s="29" t="s">
        <v>116</v>
      </c>
      <c r="D20" s="29" t="s">
        <v>117</v>
      </c>
      <c r="E20" s="142" t="s">
        <v>118</v>
      </c>
      <c r="F20" s="29">
        <v>1</v>
      </c>
      <c r="G20" s="29"/>
      <c r="H20" s="29"/>
      <c r="I20" s="29"/>
      <c r="J20" s="29"/>
      <c r="K20" s="37" t="s">
        <v>119</v>
      </c>
      <c r="L20" s="29">
        <v>31</v>
      </c>
      <c r="M20" s="29">
        <v>1</v>
      </c>
      <c r="N20" s="49" t="s">
        <v>30</v>
      </c>
      <c r="O20" s="66" t="s">
        <v>120</v>
      </c>
      <c r="P20" s="66" t="s">
        <v>121</v>
      </c>
      <c r="Q20" s="57" t="s">
        <v>55</v>
      </c>
      <c r="R20" s="57" t="s">
        <v>56</v>
      </c>
      <c r="S20" s="34" t="s">
        <v>57</v>
      </c>
      <c r="T20" s="51" t="s">
        <v>108</v>
      </c>
      <c r="U20" s="74"/>
      <c r="V20" s="74"/>
      <c r="W20" s="29"/>
    </row>
    <row r="21" s="1" customFormat="1" ht="63.75" spans="1:23">
      <c r="A21" s="49" t="s">
        <v>122</v>
      </c>
      <c r="B21" s="49" t="s">
        <v>101</v>
      </c>
      <c r="C21" s="49" t="s">
        <v>123</v>
      </c>
      <c r="D21" s="49" t="s">
        <v>124</v>
      </c>
      <c r="E21" s="49" t="s">
        <v>125</v>
      </c>
      <c r="F21" s="49">
        <v>4</v>
      </c>
      <c r="G21" s="49"/>
      <c r="H21" s="49"/>
      <c r="I21" s="49"/>
      <c r="J21" s="49"/>
      <c r="K21" s="49" t="s">
        <v>78</v>
      </c>
      <c r="L21" s="49">
        <v>18</v>
      </c>
      <c r="M21" s="49">
        <v>4</v>
      </c>
      <c r="N21" s="47" t="s">
        <v>52</v>
      </c>
      <c r="O21" s="66" t="s">
        <v>126</v>
      </c>
      <c r="P21" s="66" t="s">
        <v>127</v>
      </c>
      <c r="Q21" s="57" t="s">
        <v>128</v>
      </c>
      <c r="R21" s="57" t="s">
        <v>129</v>
      </c>
      <c r="S21" s="67" t="s">
        <v>57</v>
      </c>
      <c r="T21" s="67" t="s">
        <v>130</v>
      </c>
      <c r="U21" s="74"/>
      <c r="V21" s="74"/>
      <c r="W21" s="29"/>
    </row>
    <row r="22" s="1" customFormat="1" ht="27" spans="1:23">
      <c r="A22" s="49" t="s">
        <v>122</v>
      </c>
      <c r="B22" s="49" t="s">
        <v>101</v>
      </c>
      <c r="C22" s="49" t="s">
        <v>123</v>
      </c>
      <c r="D22" s="49" t="s">
        <v>124</v>
      </c>
      <c r="E22" s="49" t="s">
        <v>125</v>
      </c>
      <c r="F22" s="49">
        <v>4</v>
      </c>
      <c r="G22" s="49"/>
      <c r="H22" s="49"/>
      <c r="I22" s="49"/>
      <c r="J22" s="49"/>
      <c r="K22" s="49" t="s">
        <v>78</v>
      </c>
      <c r="L22" s="49">
        <v>18</v>
      </c>
      <c r="M22" s="49">
        <v>4</v>
      </c>
      <c r="N22" s="47" t="s">
        <v>52</v>
      </c>
      <c r="O22" s="66" t="s">
        <v>131</v>
      </c>
      <c r="P22" s="66" t="s">
        <v>131</v>
      </c>
      <c r="Q22" s="57" t="s">
        <v>55</v>
      </c>
      <c r="R22" s="57" t="s">
        <v>56</v>
      </c>
      <c r="S22" s="67" t="s">
        <v>57</v>
      </c>
      <c r="T22" s="67" t="s">
        <v>130</v>
      </c>
      <c r="U22" s="74"/>
      <c r="V22" s="74"/>
      <c r="W22" s="29"/>
    </row>
    <row r="23" s="1" customFormat="1" ht="27" spans="1:23">
      <c r="A23" s="49" t="s">
        <v>122</v>
      </c>
      <c r="B23" s="49" t="s">
        <v>101</v>
      </c>
      <c r="C23" s="49" t="s">
        <v>123</v>
      </c>
      <c r="D23" s="49" t="s">
        <v>124</v>
      </c>
      <c r="E23" s="49" t="s">
        <v>125</v>
      </c>
      <c r="F23" s="49">
        <v>4</v>
      </c>
      <c r="G23" s="49"/>
      <c r="H23" s="49"/>
      <c r="I23" s="49"/>
      <c r="J23" s="49"/>
      <c r="K23" s="49" t="s">
        <v>78</v>
      </c>
      <c r="L23" s="49">
        <v>18</v>
      </c>
      <c r="M23" s="49">
        <v>4</v>
      </c>
      <c r="N23" s="47" t="s">
        <v>52</v>
      </c>
      <c r="O23" s="66" t="s">
        <v>132</v>
      </c>
      <c r="P23" s="66" t="s">
        <v>132</v>
      </c>
      <c r="Q23" s="57" t="s">
        <v>128</v>
      </c>
      <c r="R23" s="57" t="s">
        <v>129</v>
      </c>
      <c r="S23" s="67" t="s">
        <v>57</v>
      </c>
      <c r="T23" s="67" t="s">
        <v>130</v>
      </c>
      <c r="U23" s="74"/>
      <c r="V23" s="74"/>
      <c r="W23" s="29"/>
    </row>
    <row r="24" s="1" customFormat="1" ht="27" spans="1:23">
      <c r="A24" s="49" t="s">
        <v>122</v>
      </c>
      <c r="B24" s="49" t="s">
        <v>101</v>
      </c>
      <c r="C24" s="49" t="s">
        <v>123</v>
      </c>
      <c r="D24" s="49" t="s">
        <v>124</v>
      </c>
      <c r="E24" s="49" t="s">
        <v>125</v>
      </c>
      <c r="F24" s="49">
        <v>4</v>
      </c>
      <c r="G24" s="49"/>
      <c r="H24" s="49"/>
      <c r="I24" s="49"/>
      <c r="J24" s="49"/>
      <c r="K24" s="49" t="s">
        <v>78</v>
      </c>
      <c r="L24" s="49">
        <v>18</v>
      </c>
      <c r="M24" s="49">
        <v>4</v>
      </c>
      <c r="N24" s="47" t="s">
        <v>52</v>
      </c>
      <c r="O24" s="66" t="s">
        <v>133</v>
      </c>
      <c r="P24" s="66" t="s">
        <v>133</v>
      </c>
      <c r="Q24" s="57" t="s">
        <v>128</v>
      </c>
      <c r="R24" s="57" t="s">
        <v>129</v>
      </c>
      <c r="S24" s="67" t="s">
        <v>57</v>
      </c>
      <c r="T24" s="67" t="s">
        <v>130</v>
      </c>
      <c r="U24" s="74"/>
      <c r="V24" s="74"/>
      <c r="W24" s="29"/>
    </row>
    <row r="25" s="1" customFormat="1" ht="27" spans="1:23">
      <c r="A25" s="49" t="s">
        <v>122</v>
      </c>
      <c r="B25" s="49" t="s">
        <v>101</v>
      </c>
      <c r="C25" s="49" t="s">
        <v>123</v>
      </c>
      <c r="D25" s="49" t="s">
        <v>124</v>
      </c>
      <c r="E25" s="49" t="s">
        <v>125</v>
      </c>
      <c r="F25" s="49">
        <v>4</v>
      </c>
      <c r="G25" s="49"/>
      <c r="H25" s="49"/>
      <c r="I25" s="49"/>
      <c r="J25" s="49"/>
      <c r="K25" s="49" t="s">
        <v>78</v>
      </c>
      <c r="L25" s="49">
        <v>18</v>
      </c>
      <c r="M25" s="49">
        <v>4</v>
      </c>
      <c r="N25" s="47" t="s">
        <v>52</v>
      </c>
      <c r="O25" s="66" t="s">
        <v>134</v>
      </c>
      <c r="P25" s="66" t="s">
        <v>134</v>
      </c>
      <c r="Q25" s="57" t="s">
        <v>55</v>
      </c>
      <c r="R25" s="57" t="s">
        <v>56</v>
      </c>
      <c r="S25" s="67" t="s">
        <v>57</v>
      </c>
      <c r="T25" s="67" t="s">
        <v>130</v>
      </c>
      <c r="U25" s="74"/>
      <c r="V25" s="74"/>
      <c r="W25" s="29"/>
    </row>
    <row r="26" s="1" customFormat="1" ht="27" spans="1:23">
      <c r="A26" s="49" t="s">
        <v>122</v>
      </c>
      <c r="B26" s="49" t="s">
        <v>101</v>
      </c>
      <c r="C26" s="49" t="s">
        <v>123</v>
      </c>
      <c r="D26" s="49" t="s">
        <v>124</v>
      </c>
      <c r="E26" s="49" t="s">
        <v>125</v>
      </c>
      <c r="F26" s="49">
        <v>4</v>
      </c>
      <c r="G26" s="49"/>
      <c r="H26" s="49"/>
      <c r="I26" s="49"/>
      <c r="J26" s="49"/>
      <c r="K26" s="49" t="s">
        <v>78</v>
      </c>
      <c r="L26" s="49">
        <v>18</v>
      </c>
      <c r="M26" s="49">
        <v>4</v>
      </c>
      <c r="N26" s="47" t="s">
        <v>52</v>
      </c>
      <c r="O26" s="66" t="s">
        <v>135</v>
      </c>
      <c r="P26" s="66" t="s">
        <v>136</v>
      </c>
      <c r="Q26" s="57" t="s">
        <v>55</v>
      </c>
      <c r="R26" s="57" t="s">
        <v>56</v>
      </c>
      <c r="S26" s="67" t="s">
        <v>57</v>
      </c>
      <c r="T26" s="67" t="s">
        <v>130</v>
      </c>
      <c r="U26" s="74"/>
      <c r="V26" s="74"/>
      <c r="W26" s="29"/>
    </row>
    <row r="27" s="1" customFormat="1" ht="27" spans="1:23">
      <c r="A27" s="50" t="s">
        <v>137</v>
      </c>
      <c r="B27" s="50" t="s">
        <v>101</v>
      </c>
      <c r="C27" s="50" t="s">
        <v>138</v>
      </c>
      <c r="D27" s="50" t="s">
        <v>139</v>
      </c>
      <c r="E27" s="50" t="s">
        <v>140</v>
      </c>
      <c r="F27" s="50">
        <v>8</v>
      </c>
      <c r="G27" s="50"/>
      <c r="H27" s="50"/>
      <c r="I27" s="50"/>
      <c r="J27" s="50"/>
      <c r="K27" s="50" t="s">
        <v>141</v>
      </c>
      <c r="L27" s="50">
        <v>31</v>
      </c>
      <c r="M27" s="50">
        <v>8</v>
      </c>
      <c r="N27" s="68" t="s">
        <v>30</v>
      </c>
      <c r="O27" s="69" t="s">
        <v>142</v>
      </c>
      <c r="P27" s="69" t="s">
        <v>143</v>
      </c>
      <c r="Q27" s="29" t="s">
        <v>144</v>
      </c>
      <c r="R27" s="57" t="s">
        <v>145</v>
      </c>
      <c r="S27" s="51" t="s">
        <v>57</v>
      </c>
      <c r="T27" s="51" t="s">
        <v>146</v>
      </c>
      <c r="U27" s="74"/>
      <c r="V27" s="74"/>
      <c r="W27" s="29"/>
    </row>
    <row r="28" s="1" customFormat="1" ht="27" spans="1:23">
      <c r="A28" s="50" t="s">
        <v>137</v>
      </c>
      <c r="B28" s="50" t="s">
        <v>101</v>
      </c>
      <c r="C28" s="50" t="s">
        <v>138</v>
      </c>
      <c r="D28" s="50" t="s">
        <v>139</v>
      </c>
      <c r="E28" s="50" t="s">
        <v>140</v>
      </c>
      <c r="F28" s="50">
        <v>8</v>
      </c>
      <c r="G28" s="50"/>
      <c r="H28" s="50"/>
      <c r="I28" s="50"/>
      <c r="J28" s="50"/>
      <c r="K28" s="50" t="s">
        <v>141</v>
      </c>
      <c r="L28" s="50">
        <v>31</v>
      </c>
      <c r="M28" s="50">
        <v>8</v>
      </c>
      <c r="N28" s="68" t="s">
        <v>30</v>
      </c>
      <c r="O28" s="69" t="s">
        <v>143</v>
      </c>
      <c r="P28" s="69" t="s">
        <v>147</v>
      </c>
      <c r="Q28" s="29" t="s">
        <v>148</v>
      </c>
      <c r="R28" s="57" t="s">
        <v>149</v>
      </c>
      <c r="S28" s="51" t="s">
        <v>57</v>
      </c>
      <c r="T28" s="51" t="s">
        <v>146</v>
      </c>
      <c r="U28" s="74"/>
      <c r="V28" s="74"/>
      <c r="W28" s="29"/>
    </row>
    <row r="29" s="1" customFormat="1" ht="40.5" spans="1:23">
      <c r="A29" s="50" t="s">
        <v>137</v>
      </c>
      <c r="B29" s="50" t="s">
        <v>101</v>
      </c>
      <c r="C29" s="50" t="s">
        <v>138</v>
      </c>
      <c r="D29" s="50" t="s">
        <v>139</v>
      </c>
      <c r="E29" s="50" t="s">
        <v>140</v>
      </c>
      <c r="F29" s="50">
        <v>8</v>
      </c>
      <c r="G29" s="50"/>
      <c r="H29" s="50"/>
      <c r="I29" s="50"/>
      <c r="J29" s="50"/>
      <c r="K29" s="50" t="s">
        <v>141</v>
      </c>
      <c r="L29" s="50">
        <v>31</v>
      </c>
      <c r="M29" s="50">
        <v>8</v>
      </c>
      <c r="N29" s="68" t="s">
        <v>30</v>
      </c>
      <c r="O29" s="69" t="s">
        <v>150</v>
      </c>
      <c r="P29" s="69" t="s">
        <v>151</v>
      </c>
      <c r="Q29" s="29" t="s">
        <v>148</v>
      </c>
      <c r="R29" s="57" t="s">
        <v>149</v>
      </c>
      <c r="S29" s="51" t="s">
        <v>57</v>
      </c>
      <c r="T29" s="51" t="s">
        <v>146</v>
      </c>
      <c r="U29" s="74"/>
      <c r="V29" s="74"/>
      <c r="W29" s="29"/>
    </row>
    <row r="30" s="1" customFormat="1" ht="40.5" spans="1:23">
      <c r="A30" s="50" t="s">
        <v>137</v>
      </c>
      <c r="B30" s="50" t="s">
        <v>101</v>
      </c>
      <c r="C30" s="50" t="s">
        <v>138</v>
      </c>
      <c r="D30" s="50" t="s">
        <v>139</v>
      </c>
      <c r="E30" s="50" t="s">
        <v>140</v>
      </c>
      <c r="F30" s="50">
        <v>8</v>
      </c>
      <c r="G30" s="50"/>
      <c r="H30" s="50"/>
      <c r="I30" s="50"/>
      <c r="J30" s="50"/>
      <c r="K30" s="50" t="s">
        <v>141</v>
      </c>
      <c r="L30" s="50">
        <v>31</v>
      </c>
      <c r="M30" s="50">
        <v>8</v>
      </c>
      <c r="N30" s="68" t="s">
        <v>30</v>
      </c>
      <c r="O30" s="69" t="s">
        <v>150</v>
      </c>
      <c r="P30" s="69" t="s">
        <v>152</v>
      </c>
      <c r="Q30" s="29" t="s">
        <v>148</v>
      </c>
      <c r="R30" s="57" t="s">
        <v>149</v>
      </c>
      <c r="S30" s="51" t="s">
        <v>57</v>
      </c>
      <c r="T30" s="51" t="s">
        <v>146</v>
      </c>
      <c r="U30" s="74"/>
      <c r="V30" s="74"/>
      <c r="W30" s="29"/>
    </row>
    <row r="31" s="1" customFormat="1" ht="27" spans="1:23">
      <c r="A31" s="50" t="s">
        <v>137</v>
      </c>
      <c r="B31" s="50" t="s">
        <v>101</v>
      </c>
      <c r="C31" s="50" t="s">
        <v>138</v>
      </c>
      <c r="D31" s="50" t="s">
        <v>139</v>
      </c>
      <c r="E31" s="50" t="s">
        <v>140</v>
      </c>
      <c r="F31" s="50">
        <v>8</v>
      </c>
      <c r="G31" s="50"/>
      <c r="H31" s="50"/>
      <c r="I31" s="50"/>
      <c r="J31" s="50"/>
      <c r="K31" s="50" t="s">
        <v>141</v>
      </c>
      <c r="L31" s="50">
        <v>31</v>
      </c>
      <c r="M31" s="50">
        <v>8</v>
      </c>
      <c r="N31" s="68" t="s">
        <v>30</v>
      </c>
      <c r="O31" s="69" t="s">
        <v>151</v>
      </c>
      <c r="P31" s="69" t="s">
        <v>153</v>
      </c>
      <c r="Q31" s="29" t="s">
        <v>148</v>
      </c>
      <c r="R31" s="57" t="s">
        <v>149</v>
      </c>
      <c r="S31" s="51" t="s">
        <v>57</v>
      </c>
      <c r="T31" s="51" t="s">
        <v>146</v>
      </c>
      <c r="U31" s="74"/>
      <c r="V31" s="74"/>
      <c r="W31" s="29"/>
    </row>
    <row r="32" s="1" customFormat="1" ht="27" spans="1:23">
      <c r="A32" s="50" t="s">
        <v>137</v>
      </c>
      <c r="B32" s="50" t="s">
        <v>101</v>
      </c>
      <c r="C32" s="50" t="s">
        <v>138</v>
      </c>
      <c r="D32" s="50" t="s">
        <v>139</v>
      </c>
      <c r="E32" s="50" t="s">
        <v>140</v>
      </c>
      <c r="F32" s="50">
        <v>8</v>
      </c>
      <c r="G32" s="50"/>
      <c r="H32" s="50"/>
      <c r="I32" s="50"/>
      <c r="J32" s="50"/>
      <c r="K32" s="50" t="s">
        <v>141</v>
      </c>
      <c r="L32" s="50">
        <v>31</v>
      </c>
      <c r="M32" s="50">
        <v>8</v>
      </c>
      <c r="N32" s="68" t="s">
        <v>30</v>
      </c>
      <c r="O32" s="69" t="s">
        <v>154</v>
      </c>
      <c r="P32" s="69" t="s">
        <v>155</v>
      </c>
      <c r="Q32" s="29" t="s">
        <v>148</v>
      </c>
      <c r="R32" s="57" t="s">
        <v>149</v>
      </c>
      <c r="S32" s="51" t="s">
        <v>57</v>
      </c>
      <c r="T32" s="51" t="s">
        <v>146</v>
      </c>
      <c r="U32" s="74"/>
      <c r="V32" s="74"/>
      <c r="W32" s="29"/>
    </row>
    <row r="33" s="1" customFormat="1" ht="27" spans="1:23">
      <c r="A33" s="50" t="s">
        <v>137</v>
      </c>
      <c r="B33" s="50" t="s">
        <v>101</v>
      </c>
      <c r="C33" s="50" t="s">
        <v>138</v>
      </c>
      <c r="D33" s="50" t="s">
        <v>139</v>
      </c>
      <c r="E33" s="50" t="s">
        <v>140</v>
      </c>
      <c r="F33" s="50">
        <v>8</v>
      </c>
      <c r="G33" s="50"/>
      <c r="H33" s="50"/>
      <c r="I33" s="50"/>
      <c r="J33" s="50"/>
      <c r="K33" s="50" t="s">
        <v>141</v>
      </c>
      <c r="L33" s="50">
        <v>31</v>
      </c>
      <c r="M33" s="50">
        <v>8</v>
      </c>
      <c r="N33" s="68" t="s">
        <v>30</v>
      </c>
      <c r="O33" s="69" t="s">
        <v>154</v>
      </c>
      <c r="P33" s="69" t="s">
        <v>156</v>
      </c>
      <c r="Q33" s="29" t="s">
        <v>144</v>
      </c>
      <c r="R33" s="57" t="s">
        <v>145</v>
      </c>
      <c r="S33" s="51" t="s">
        <v>57</v>
      </c>
      <c r="T33" s="51" t="s">
        <v>146</v>
      </c>
      <c r="U33" s="74"/>
      <c r="V33" s="74"/>
      <c r="W33" s="29"/>
    </row>
    <row r="34" s="1" customFormat="1" ht="27" spans="1:23">
      <c r="A34" s="50" t="s">
        <v>137</v>
      </c>
      <c r="B34" s="50" t="s">
        <v>101</v>
      </c>
      <c r="C34" s="50" t="s">
        <v>138</v>
      </c>
      <c r="D34" s="50" t="s">
        <v>139</v>
      </c>
      <c r="E34" s="50" t="s">
        <v>140</v>
      </c>
      <c r="F34" s="50">
        <v>8</v>
      </c>
      <c r="G34" s="50"/>
      <c r="H34" s="50"/>
      <c r="I34" s="50"/>
      <c r="J34" s="50"/>
      <c r="K34" s="50" t="s">
        <v>141</v>
      </c>
      <c r="L34" s="50">
        <v>31</v>
      </c>
      <c r="M34" s="50">
        <v>8</v>
      </c>
      <c r="N34" s="68" t="s">
        <v>30</v>
      </c>
      <c r="O34" s="69" t="s">
        <v>157</v>
      </c>
      <c r="P34" s="69" t="s">
        <v>158</v>
      </c>
      <c r="Q34" s="29" t="s">
        <v>148</v>
      </c>
      <c r="R34" s="57" t="s">
        <v>149</v>
      </c>
      <c r="S34" s="51" t="s">
        <v>57</v>
      </c>
      <c r="T34" s="51" t="s">
        <v>146</v>
      </c>
      <c r="U34" s="74"/>
      <c r="V34" s="74"/>
      <c r="W34" s="29"/>
    </row>
    <row r="35" s="1" customFormat="1" ht="27" spans="1:23">
      <c r="A35" s="50" t="s">
        <v>137</v>
      </c>
      <c r="B35" s="50" t="s">
        <v>101</v>
      </c>
      <c r="C35" s="50" t="s">
        <v>138</v>
      </c>
      <c r="D35" s="50" t="s">
        <v>139</v>
      </c>
      <c r="E35" s="50" t="s">
        <v>140</v>
      </c>
      <c r="F35" s="50">
        <v>8</v>
      </c>
      <c r="G35" s="50"/>
      <c r="H35" s="50"/>
      <c r="I35" s="50"/>
      <c r="J35" s="50"/>
      <c r="K35" s="50" t="s">
        <v>141</v>
      </c>
      <c r="L35" s="50">
        <v>31</v>
      </c>
      <c r="M35" s="50">
        <v>8</v>
      </c>
      <c r="N35" s="68" t="s">
        <v>30</v>
      </c>
      <c r="O35" s="69" t="s">
        <v>157</v>
      </c>
      <c r="P35" s="69" t="s">
        <v>159</v>
      </c>
      <c r="Q35" s="29" t="s">
        <v>148</v>
      </c>
      <c r="R35" s="57" t="s">
        <v>149</v>
      </c>
      <c r="S35" s="51" t="s">
        <v>57</v>
      </c>
      <c r="T35" s="51" t="s">
        <v>146</v>
      </c>
      <c r="U35" s="74"/>
      <c r="V35" s="74"/>
      <c r="W35" s="29"/>
    </row>
    <row r="36" s="1" customFormat="1" ht="27" spans="1:23">
      <c r="A36" s="50" t="s">
        <v>137</v>
      </c>
      <c r="B36" s="50" t="s">
        <v>101</v>
      </c>
      <c r="C36" s="50" t="s">
        <v>138</v>
      </c>
      <c r="D36" s="50" t="s">
        <v>139</v>
      </c>
      <c r="E36" s="50" t="s">
        <v>140</v>
      </c>
      <c r="F36" s="50">
        <v>8</v>
      </c>
      <c r="G36" s="50"/>
      <c r="H36" s="50"/>
      <c r="I36" s="50"/>
      <c r="J36" s="50"/>
      <c r="K36" s="50" t="s">
        <v>141</v>
      </c>
      <c r="L36" s="50">
        <v>31</v>
      </c>
      <c r="M36" s="50">
        <v>8</v>
      </c>
      <c r="N36" s="68" t="s">
        <v>30</v>
      </c>
      <c r="O36" s="69" t="s">
        <v>160</v>
      </c>
      <c r="P36" s="69" t="s">
        <v>161</v>
      </c>
      <c r="Q36" s="29" t="s">
        <v>55</v>
      </c>
      <c r="R36" s="57" t="s">
        <v>56</v>
      </c>
      <c r="S36" s="51" t="s">
        <v>57</v>
      </c>
      <c r="T36" s="51" t="s">
        <v>146</v>
      </c>
      <c r="U36" s="74"/>
      <c r="V36" s="74"/>
      <c r="W36" s="29"/>
    </row>
    <row r="37" s="1" customFormat="1" ht="27" spans="1:23">
      <c r="A37" s="50" t="s">
        <v>137</v>
      </c>
      <c r="B37" s="50" t="s">
        <v>101</v>
      </c>
      <c r="C37" s="50" t="s">
        <v>138</v>
      </c>
      <c r="D37" s="50" t="s">
        <v>139</v>
      </c>
      <c r="E37" s="50" t="s">
        <v>140</v>
      </c>
      <c r="F37" s="50">
        <v>8</v>
      </c>
      <c r="G37" s="50"/>
      <c r="H37" s="50"/>
      <c r="I37" s="50"/>
      <c r="J37" s="50"/>
      <c r="K37" s="50" t="s">
        <v>141</v>
      </c>
      <c r="L37" s="50">
        <v>31</v>
      </c>
      <c r="M37" s="50">
        <v>8</v>
      </c>
      <c r="N37" s="68" t="s">
        <v>30</v>
      </c>
      <c r="O37" s="69" t="s">
        <v>162</v>
      </c>
      <c r="P37" s="69" t="s">
        <v>163</v>
      </c>
      <c r="Q37" s="29" t="s">
        <v>144</v>
      </c>
      <c r="R37" s="57" t="s">
        <v>145</v>
      </c>
      <c r="S37" s="51" t="s">
        <v>57</v>
      </c>
      <c r="T37" s="51" t="s">
        <v>146</v>
      </c>
      <c r="U37" s="74"/>
      <c r="V37" s="74"/>
      <c r="W37" s="29"/>
    </row>
    <row r="38" s="1" customFormat="1" ht="27" spans="1:23">
      <c r="A38" s="50" t="s">
        <v>137</v>
      </c>
      <c r="B38" s="50" t="s">
        <v>101</v>
      </c>
      <c r="C38" s="50" t="s">
        <v>138</v>
      </c>
      <c r="D38" s="50" t="s">
        <v>139</v>
      </c>
      <c r="E38" s="50" t="s">
        <v>140</v>
      </c>
      <c r="F38" s="50">
        <v>8</v>
      </c>
      <c r="G38" s="50"/>
      <c r="H38" s="50"/>
      <c r="I38" s="50"/>
      <c r="J38" s="50"/>
      <c r="K38" s="50" t="s">
        <v>141</v>
      </c>
      <c r="L38" s="50">
        <v>31</v>
      </c>
      <c r="M38" s="50">
        <v>8</v>
      </c>
      <c r="N38" s="68" t="s">
        <v>30</v>
      </c>
      <c r="O38" s="69" t="s">
        <v>162</v>
      </c>
      <c r="P38" s="69" t="s">
        <v>164</v>
      </c>
      <c r="Q38" s="29" t="s">
        <v>144</v>
      </c>
      <c r="R38" s="57" t="s">
        <v>145</v>
      </c>
      <c r="S38" s="51" t="s">
        <v>57</v>
      </c>
      <c r="T38" s="51" t="s">
        <v>146</v>
      </c>
      <c r="U38" s="74"/>
      <c r="V38" s="74"/>
      <c r="W38" s="29"/>
    </row>
    <row r="39" s="1" customFormat="1" ht="27" spans="1:23">
      <c r="A39" s="50" t="s">
        <v>137</v>
      </c>
      <c r="B39" s="50" t="s">
        <v>101</v>
      </c>
      <c r="C39" s="50" t="s">
        <v>138</v>
      </c>
      <c r="D39" s="50" t="s">
        <v>139</v>
      </c>
      <c r="E39" s="50" t="s">
        <v>140</v>
      </c>
      <c r="F39" s="50">
        <v>8</v>
      </c>
      <c r="G39" s="50"/>
      <c r="H39" s="50"/>
      <c r="I39" s="50"/>
      <c r="J39" s="50"/>
      <c r="K39" s="50" t="s">
        <v>141</v>
      </c>
      <c r="L39" s="50">
        <v>31</v>
      </c>
      <c r="M39" s="50">
        <v>8</v>
      </c>
      <c r="N39" s="68" t="s">
        <v>30</v>
      </c>
      <c r="O39" s="69" t="s">
        <v>162</v>
      </c>
      <c r="P39" s="69" t="s">
        <v>165</v>
      </c>
      <c r="Q39" s="29" t="s">
        <v>148</v>
      </c>
      <c r="R39" s="57" t="s">
        <v>149</v>
      </c>
      <c r="S39" s="51" t="s">
        <v>57</v>
      </c>
      <c r="T39" s="51" t="s">
        <v>146</v>
      </c>
      <c r="U39" s="74"/>
      <c r="V39" s="74"/>
      <c r="W39" s="29"/>
    </row>
    <row r="40" s="1" customFormat="1" ht="54" spans="1:23">
      <c r="A40" s="49" t="s">
        <v>166</v>
      </c>
      <c r="B40" s="50" t="s">
        <v>101</v>
      </c>
      <c r="C40" s="50" t="s">
        <v>167</v>
      </c>
      <c r="D40" s="50" t="s">
        <v>168</v>
      </c>
      <c r="E40" s="50" t="s">
        <v>169</v>
      </c>
      <c r="F40" s="50">
        <v>2</v>
      </c>
      <c r="G40" s="50"/>
      <c r="H40" s="50"/>
      <c r="I40" s="50"/>
      <c r="J40" s="50"/>
      <c r="K40" s="41" t="s">
        <v>39</v>
      </c>
      <c r="L40" s="50">
        <v>5</v>
      </c>
      <c r="M40" s="50">
        <v>2</v>
      </c>
      <c r="N40" s="49" t="s">
        <v>170</v>
      </c>
      <c r="O40" s="70" t="s">
        <v>171</v>
      </c>
      <c r="P40" s="69" t="s">
        <v>172</v>
      </c>
      <c r="Q40" s="29" t="s">
        <v>148</v>
      </c>
      <c r="R40" s="57" t="s">
        <v>149</v>
      </c>
      <c r="S40" s="71" t="s">
        <v>57</v>
      </c>
      <c r="T40" s="72" t="s">
        <v>146</v>
      </c>
      <c r="U40" s="74"/>
      <c r="V40" s="74"/>
      <c r="W40" s="29"/>
    </row>
    <row r="41" s="1" customFormat="1" ht="40.5" spans="1:23">
      <c r="A41" s="49" t="s">
        <v>166</v>
      </c>
      <c r="B41" s="50" t="s">
        <v>101</v>
      </c>
      <c r="C41" s="50" t="s">
        <v>167</v>
      </c>
      <c r="D41" s="50" t="s">
        <v>168</v>
      </c>
      <c r="E41" s="50" t="s">
        <v>169</v>
      </c>
      <c r="F41" s="50">
        <v>2</v>
      </c>
      <c r="G41" s="50"/>
      <c r="H41" s="50"/>
      <c r="I41" s="50"/>
      <c r="J41" s="50"/>
      <c r="K41" s="41" t="s">
        <v>39</v>
      </c>
      <c r="L41" s="50">
        <v>5</v>
      </c>
      <c r="M41" s="50">
        <v>2</v>
      </c>
      <c r="N41" s="49" t="s">
        <v>170</v>
      </c>
      <c r="O41" s="70" t="s">
        <v>173</v>
      </c>
      <c r="P41" s="69" t="s">
        <v>174</v>
      </c>
      <c r="Q41" s="29" t="s">
        <v>175</v>
      </c>
      <c r="R41" s="57" t="s">
        <v>175</v>
      </c>
      <c r="S41" s="71" t="s">
        <v>57</v>
      </c>
      <c r="T41" s="72" t="s">
        <v>146</v>
      </c>
      <c r="U41" s="74"/>
      <c r="V41" s="74"/>
      <c r="W41" s="29"/>
    </row>
    <row r="42" s="1" customFormat="1" ht="67.5" spans="1:23">
      <c r="A42" s="49" t="s">
        <v>166</v>
      </c>
      <c r="B42" s="50" t="s">
        <v>101</v>
      </c>
      <c r="C42" s="50" t="s">
        <v>176</v>
      </c>
      <c r="D42" s="50" t="s">
        <v>177</v>
      </c>
      <c r="E42" s="50" t="s">
        <v>178</v>
      </c>
      <c r="F42" s="50">
        <v>4</v>
      </c>
      <c r="G42" s="50"/>
      <c r="H42" s="50"/>
      <c r="I42" s="50"/>
      <c r="J42" s="50"/>
      <c r="K42" s="50" t="s">
        <v>179</v>
      </c>
      <c r="L42" s="50">
        <v>4</v>
      </c>
      <c r="M42" s="50">
        <v>4</v>
      </c>
      <c r="N42" s="49" t="s">
        <v>180</v>
      </c>
      <c r="O42" s="69" t="s">
        <v>181</v>
      </c>
      <c r="P42" s="69" t="s">
        <v>182</v>
      </c>
      <c r="Q42" s="29" t="s">
        <v>175</v>
      </c>
      <c r="R42" s="57" t="s">
        <v>175</v>
      </c>
      <c r="S42" s="71" t="s">
        <v>57</v>
      </c>
      <c r="T42" s="72" t="s">
        <v>146</v>
      </c>
      <c r="U42" s="75"/>
      <c r="V42" s="74"/>
      <c r="W42" s="29"/>
    </row>
    <row r="43" s="1" customFormat="1" ht="67.5" spans="1:23">
      <c r="A43" s="49" t="s">
        <v>166</v>
      </c>
      <c r="B43" s="50" t="s">
        <v>101</v>
      </c>
      <c r="C43" s="50" t="s">
        <v>176</v>
      </c>
      <c r="D43" s="50" t="s">
        <v>177</v>
      </c>
      <c r="E43" s="50" t="s">
        <v>178</v>
      </c>
      <c r="F43" s="50">
        <v>4</v>
      </c>
      <c r="G43" s="50"/>
      <c r="H43" s="50"/>
      <c r="I43" s="50"/>
      <c r="J43" s="50"/>
      <c r="K43" s="50" t="s">
        <v>179</v>
      </c>
      <c r="L43" s="50">
        <v>4</v>
      </c>
      <c r="M43" s="50">
        <v>4</v>
      </c>
      <c r="N43" s="49" t="s">
        <v>180</v>
      </c>
      <c r="O43" s="69" t="s">
        <v>183</v>
      </c>
      <c r="P43" s="69" t="s">
        <v>184</v>
      </c>
      <c r="Q43" s="29" t="s">
        <v>33</v>
      </c>
      <c r="R43" s="29" t="s">
        <v>107</v>
      </c>
      <c r="S43" s="71" t="s">
        <v>57</v>
      </c>
      <c r="T43" s="72" t="s">
        <v>146</v>
      </c>
      <c r="U43" s="75"/>
      <c r="V43" s="74"/>
      <c r="W43" s="29"/>
    </row>
    <row r="44" s="1" customFormat="1" ht="40.5" spans="1:23">
      <c r="A44" s="49" t="s">
        <v>166</v>
      </c>
      <c r="B44" s="42" t="s">
        <v>25</v>
      </c>
      <c r="C44" s="42" t="s">
        <v>167</v>
      </c>
      <c r="D44" s="42" t="s">
        <v>185</v>
      </c>
      <c r="E44" s="53" t="s">
        <v>186</v>
      </c>
      <c r="F44" s="54">
        <v>1</v>
      </c>
      <c r="G44" s="143"/>
      <c r="H44" s="144"/>
      <c r="I44" s="144"/>
      <c r="J44" s="54"/>
      <c r="K44" s="55" t="s">
        <v>39</v>
      </c>
      <c r="L44" s="54">
        <v>27</v>
      </c>
      <c r="M44" s="50">
        <v>1</v>
      </c>
      <c r="N44" s="49" t="s">
        <v>170</v>
      </c>
      <c r="O44" s="69" t="s">
        <v>187</v>
      </c>
      <c r="P44" s="69" t="s">
        <v>188</v>
      </c>
      <c r="Q44" s="29" t="s">
        <v>61</v>
      </c>
      <c r="R44" s="29" t="s">
        <v>62</v>
      </c>
      <c r="S44" s="71" t="s">
        <v>57</v>
      </c>
      <c r="T44" s="72" t="s">
        <v>146</v>
      </c>
      <c r="U44" s="74"/>
      <c r="V44" s="74"/>
      <c r="W44" s="29"/>
    </row>
    <row r="45" s="1" customFormat="1" ht="27" spans="1:23">
      <c r="A45" s="34" t="s">
        <v>189</v>
      </c>
      <c r="B45" s="47" t="s">
        <v>101</v>
      </c>
      <c r="C45" s="47" t="s">
        <v>190</v>
      </c>
      <c r="D45" s="50" t="s">
        <v>191</v>
      </c>
      <c r="E45" s="50" t="s">
        <v>192</v>
      </c>
      <c r="F45" s="50">
        <v>1</v>
      </c>
      <c r="G45" s="50"/>
      <c r="H45" s="50"/>
      <c r="I45" s="50"/>
      <c r="J45" s="50"/>
      <c r="K45" s="50">
        <v>2024.9</v>
      </c>
      <c r="L45" s="50">
        <v>21</v>
      </c>
      <c r="M45" s="50">
        <v>1</v>
      </c>
      <c r="N45" s="47" t="s">
        <v>170</v>
      </c>
      <c r="O45" s="65" t="s">
        <v>193</v>
      </c>
      <c r="P45" s="65" t="s">
        <v>194</v>
      </c>
      <c r="Q45" s="29" t="s">
        <v>195</v>
      </c>
      <c r="R45" s="29" t="s">
        <v>196</v>
      </c>
      <c r="S45" s="34" t="s">
        <v>57</v>
      </c>
      <c r="T45" s="34" t="s">
        <v>146</v>
      </c>
      <c r="U45" s="74"/>
      <c r="V45" s="74"/>
      <c r="W45" s="29"/>
    </row>
    <row r="46" s="1" customFormat="1" ht="27" spans="1:23">
      <c r="A46" s="34" t="s">
        <v>189</v>
      </c>
      <c r="B46" s="47" t="s">
        <v>101</v>
      </c>
      <c r="C46" s="47" t="s">
        <v>190</v>
      </c>
      <c r="D46" s="50" t="s">
        <v>191</v>
      </c>
      <c r="E46" s="50" t="s">
        <v>192</v>
      </c>
      <c r="F46" s="50">
        <v>1</v>
      </c>
      <c r="G46" s="50"/>
      <c r="H46" s="50"/>
      <c r="I46" s="50"/>
      <c r="J46" s="50"/>
      <c r="K46" s="50">
        <v>2024.9</v>
      </c>
      <c r="L46" s="50">
        <v>21</v>
      </c>
      <c r="M46" s="50">
        <v>1</v>
      </c>
      <c r="N46" s="47" t="s">
        <v>170</v>
      </c>
      <c r="O46" s="65" t="s">
        <v>197</v>
      </c>
      <c r="P46" s="66" t="s">
        <v>198</v>
      </c>
      <c r="Q46" s="29" t="s">
        <v>55</v>
      </c>
      <c r="R46" s="29" t="s">
        <v>199</v>
      </c>
      <c r="S46" s="34" t="s">
        <v>57</v>
      </c>
      <c r="T46" s="34" t="s">
        <v>146</v>
      </c>
      <c r="U46" s="74"/>
      <c r="V46" s="74"/>
      <c r="W46" s="29"/>
    </row>
    <row r="47" s="1" customFormat="1" ht="27" spans="1:23">
      <c r="A47" s="34" t="s">
        <v>189</v>
      </c>
      <c r="B47" s="47" t="s">
        <v>101</v>
      </c>
      <c r="C47" s="47" t="s">
        <v>190</v>
      </c>
      <c r="D47" s="50" t="s">
        <v>191</v>
      </c>
      <c r="E47" s="50" t="s">
        <v>192</v>
      </c>
      <c r="F47" s="50">
        <v>1</v>
      </c>
      <c r="G47" s="50"/>
      <c r="H47" s="50"/>
      <c r="I47" s="50"/>
      <c r="J47" s="50"/>
      <c r="K47" s="50">
        <v>2024.9</v>
      </c>
      <c r="L47" s="50">
        <v>21</v>
      </c>
      <c r="M47" s="50">
        <v>1</v>
      </c>
      <c r="N47" s="47" t="s">
        <v>170</v>
      </c>
      <c r="O47" s="65" t="s">
        <v>200</v>
      </c>
      <c r="P47" s="65" t="s">
        <v>201</v>
      </c>
      <c r="Q47" s="29" t="s">
        <v>55</v>
      </c>
      <c r="R47" s="29" t="s">
        <v>199</v>
      </c>
      <c r="S47" s="34" t="s">
        <v>57</v>
      </c>
      <c r="T47" s="34" t="s">
        <v>146</v>
      </c>
      <c r="U47" s="74"/>
      <c r="V47" s="74"/>
      <c r="W47" s="29"/>
    </row>
    <row r="48" s="1" customFormat="1" ht="27" spans="1:23">
      <c r="A48" s="34" t="s">
        <v>189</v>
      </c>
      <c r="B48" s="47" t="s">
        <v>101</v>
      </c>
      <c r="C48" s="47" t="s">
        <v>190</v>
      </c>
      <c r="D48" s="50" t="s">
        <v>191</v>
      </c>
      <c r="E48" s="50" t="s">
        <v>192</v>
      </c>
      <c r="F48" s="50">
        <v>1</v>
      </c>
      <c r="G48" s="50"/>
      <c r="H48" s="50"/>
      <c r="I48" s="50"/>
      <c r="J48" s="50"/>
      <c r="K48" s="50">
        <v>2024.9</v>
      </c>
      <c r="L48" s="50">
        <v>21</v>
      </c>
      <c r="M48" s="50">
        <v>1</v>
      </c>
      <c r="N48" s="47" t="s">
        <v>170</v>
      </c>
      <c r="O48" s="65" t="s">
        <v>202</v>
      </c>
      <c r="P48" s="65" t="s">
        <v>203</v>
      </c>
      <c r="Q48" s="29" t="s">
        <v>92</v>
      </c>
      <c r="R48" s="29" t="s">
        <v>204</v>
      </c>
      <c r="S48" s="34" t="s">
        <v>57</v>
      </c>
      <c r="T48" s="34" t="s">
        <v>146</v>
      </c>
      <c r="U48" s="74"/>
      <c r="V48" s="74"/>
      <c r="W48" s="29"/>
    </row>
    <row r="49" s="1" customFormat="1" ht="40.5" spans="1:23">
      <c r="A49" s="34" t="s">
        <v>189</v>
      </c>
      <c r="B49" s="47" t="s">
        <v>101</v>
      </c>
      <c r="C49" s="47" t="s">
        <v>205</v>
      </c>
      <c r="D49" s="47" t="s">
        <v>206</v>
      </c>
      <c r="E49" s="47" t="s">
        <v>207</v>
      </c>
      <c r="F49" s="47">
        <v>3</v>
      </c>
      <c r="G49" s="47"/>
      <c r="H49" s="47"/>
      <c r="I49" s="47"/>
      <c r="J49" s="47"/>
      <c r="K49" s="47" t="s">
        <v>208</v>
      </c>
      <c r="L49" s="47">
        <v>13</v>
      </c>
      <c r="M49" s="47">
        <v>3</v>
      </c>
      <c r="N49" s="47" t="s">
        <v>170</v>
      </c>
      <c r="O49" s="65" t="s">
        <v>209</v>
      </c>
      <c r="P49" s="66" t="s">
        <v>210</v>
      </c>
      <c r="Q49" s="29" t="s">
        <v>211</v>
      </c>
      <c r="R49" s="29" t="s">
        <v>212</v>
      </c>
      <c r="S49" s="34" t="s">
        <v>57</v>
      </c>
      <c r="T49" s="34" t="s">
        <v>146</v>
      </c>
      <c r="U49" s="74"/>
      <c r="V49" s="74"/>
      <c r="W49" s="29"/>
    </row>
    <row r="50" s="1" customFormat="1" ht="40.5" spans="1:23">
      <c r="A50" s="34" t="s">
        <v>189</v>
      </c>
      <c r="B50" s="47" t="s">
        <v>101</v>
      </c>
      <c r="C50" s="47" t="s">
        <v>205</v>
      </c>
      <c r="D50" s="47" t="s">
        <v>206</v>
      </c>
      <c r="E50" s="47" t="s">
        <v>207</v>
      </c>
      <c r="F50" s="47">
        <v>3</v>
      </c>
      <c r="G50" s="47"/>
      <c r="H50" s="47"/>
      <c r="I50" s="47"/>
      <c r="J50" s="47"/>
      <c r="K50" s="47" t="s">
        <v>208</v>
      </c>
      <c r="L50" s="47">
        <v>13</v>
      </c>
      <c r="M50" s="47">
        <v>3</v>
      </c>
      <c r="N50" s="47" t="s">
        <v>170</v>
      </c>
      <c r="O50" s="65" t="s">
        <v>213</v>
      </c>
      <c r="P50" s="66" t="s">
        <v>214</v>
      </c>
      <c r="Q50" s="29" t="s">
        <v>211</v>
      </c>
      <c r="R50" s="29" t="s">
        <v>212</v>
      </c>
      <c r="S50" s="34" t="s">
        <v>57</v>
      </c>
      <c r="T50" s="34" t="s">
        <v>146</v>
      </c>
      <c r="U50" s="74"/>
      <c r="V50" s="74"/>
      <c r="W50" s="29"/>
    </row>
    <row r="51" s="1" customFormat="1" ht="40.5" spans="1:23">
      <c r="A51" s="34" t="s">
        <v>189</v>
      </c>
      <c r="B51" s="47" t="s">
        <v>101</v>
      </c>
      <c r="C51" s="47" t="s">
        <v>205</v>
      </c>
      <c r="D51" s="47" t="s">
        <v>206</v>
      </c>
      <c r="E51" s="47" t="s">
        <v>207</v>
      </c>
      <c r="F51" s="47">
        <v>3</v>
      </c>
      <c r="G51" s="47"/>
      <c r="H51" s="47"/>
      <c r="I51" s="47"/>
      <c r="J51" s="47"/>
      <c r="K51" s="47" t="s">
        <v>208</v>
      </c>
      <c r="L51" s="47">
        <v>13</v>
      </c>
      <c r="M51" s="47">
        <v>3</v>
      </c>
      <c r="N51" s="47" t="s">
        <v>170</v>
      </c>
      <c r="O51" s="65" t="s">
        <v>215</v>
      </c>
      <c r="P51" s="65" t="s">
        <v>216</v>
      </c>
      <c r="Q51" s="29" t="s">
        <v>211</v>
      </c>
      <c r="R51" s="29" t="s">
        <v>212</v>
      </c>
      <c r="S51" s="34" t="s">
        <v>57</v>
      </c>
      <c r="T51" s="34" t="s">
        <v>146</v>
      </c>
      <c r="U51" s="74"/>
      <c r="V51" s="74"/>
      <c r="W51" s="29"/>
    </row>
    <row r="52" s="1" customFormat="1" ht="27" spans="1:23">
      <c r="A52" s="51" t="s">
        <v>217</v>
      </c>
      <c r="B52" s="47" t="s">
        <v>101</v>
      </c>
      <c r="C52" s="47" t="s">
        <v>218</v>
      </c>
      <c r="D52" s="50" t="s">
        <v>219</v>
      </c>
      <c r="E52" s="50" t="s">
        <v>220</v>
      </c>
      <c r="F52" s="50">
        <v>60</v>
      </c>
      <c r="G52" s="50"/>
      <c r="H52" s="50"/>
      <c r="I52" s="50"/>
      <c r="J52" s="50"/>
      <c r="K52" s="50">
        <v>2024.3</v>
      </c>
      <c r="L52" s="50">
        <v>4</v>
      </c>
      <c r="M52" s="50">
        <v>60</v>
      </c>
      <c r="N52" s="47" t="s">
        <v>30</v>
      </c>
      <c r="O52" s="65" t="s">
        <v>221</v>
      </c>
      <c r="P52" s="65" t="s">
        <v>222</v>
      </c>
      <c r="Q52" s="29" t="s">
        <v>144</v>
      </c>
      <c r="R52" s="29" t="s">
        <v>223</v>
      </c>
      <c r="S52" s="50" t="s">
        <v>57</v>
      </c>
      <c r="T52" s="51" t="s">
        <v>58</v>
      </c>
      <c r="U52" s="74"/>
      <c r="V52" s="74"/>
      <c r="W52" s="29"/>
    </row>
    <row r="53" s="1" customFormat="1" ht="27" spans="1:23">
      <c r="A53" s="51" t="s">
        <v>217</v>
      </c>
      <c r="B53" s="47" t="s">
        <v>101</v>
      </c>
      <c r="C53" s="47" t="s">
        <v>218</v>
      </c>
      <c r="D53" s="50" t="s">
        <v>219</v>
      </c>
      <c r="E53" s="50" t="s">
        <v>220</v>
      </c>
      <c r="F53" s="50">
        <v>60</v>
      </c>
      <c r="G53" s="50"/>
      <c r="H53" s="50"/>
      <c r="I53" s="50"/>
      <c r="J53" s="50"/>
      <c r="K53" s="50">
        <v>2024.3</v>
      </c>
      <c r="L53" s="50">
        <v>4</v>
      </c>
      <c r="M53" s="50">
        <v>60</v>
      </c>
      <c r="N53" s="47" t="s">
        <v>30</v>
      </c>
      <c r="O53" s="65" t="s">
        <v>224</v>
      </c>
      <c r="P53" s="65" t="s">
        <v>225</v>
      </c>
      <c r="Q53" s="29" t="s">
        <v>144</v>
      </c>
      <c r="R53" s="29" t="s">
        <v>223</v>
      </c>
      <c r="S53" s="50" t="s">
        <v>57</v>
      </c>
      <c r="T53" s="51" t="s">
        <v>58</v>
      </c>
      <c r="U53" s="74"/>
      <c r="V53" s="74"/>
      <c r="W53" s="29"/>
    </row>
    <row r="54" s="1" customFormat="1" ht="27" spans="1:23">
      <c r="A54" s="51" t="s">
        <v>217</v>
      </c>
      <c r="B54" s="47" t="s">
        <v>101</v>
      </c>
      <c r="C54" s="47" t="s">
        <v>218</v>
      </c>
      <c r="D54" s="50" t="s">
        <v>219</v>
      </c>
      <c r="E54" s="50" t="s">
        <v>220</v>
      </c>
      <c r="F54" s="50">
        <v>60</v>
      </c>
      <c r="G54" s="50"/>
      <c r="H54" s="50"/>
      <c r="I54" s="50"/>
      <c r="J54" s="50"/>
      <c r="K54" s="50">
        <v>2024.3</v>
      </c>
      <c r="L54" s="50">
        <v>4</v>
      </c>
      <c r="M54" s="50">
        <v>60</v>
      </c>
      <c r="N54" s="47" t="s">
        <v>30</v>
      </c>
      <c r="O54" s="65" t="s">
        <v>226</v>
      </c>
      <c r="P54" s="65" t="s">
        <v>227</v>
      </c>
      <c r="Q54" s="29" t="s">
        <v>148</v>
      </c>
      <c r="R54" s="29" t="s">
        <v>228</v>
      </c>
      <c r="S54" s="50" t="s">
        <v>57</v>
      </c>
      <c r="T54" s="51" t="s">
        <v>58</v>
      </c>
      <c r="U54" s="74"/>
      <c r="V54" s="74"/>
      <c r="W54" s="29"/>
    </row>
    <row r="55" s="1" customFormat="1" ht="27" spans="1:23">
      <c r="A55" s="51" t="s">
        <v>217</v>
      </c>
      <c r="B55" s="47" t="s">
        <v>101</v>
      </c>
      <c r="C55" s="47" t="s">
        <v>218</v>
      </c>
      <c r="D55" s="50" t="s">
        <v>219</v>
      </c>
      <c r="E55" s="50" t="s">
        <v>220</v>
      </c>
      <c r="F55" s="50">
        <v>60</v>
      </c>
      <c r="G55" s="50"/>
      <c r="H55" s="50"/>
      <c r="I55" s="50"/>
      <c r="J55" s="50"/>
      <c r="K55" s="50">
        <v>2024.3</v>
      </c>
      <c r="L55" s="50">
        <v>4</v>
      </c>
      <c r="M55" s="50">
        <v>60</v>
      </c>
      <c r="N55" s="47" t="s">
        <v>30</v>
      </c>
      <c r="O55" s="66" t="s">
        <v>229</v>
      </c>
      <c r="P55" s="65" t="s">
        <v>230</v>
      </c>
      <c r="Q55" s="29" t="s">
        <v>144</v>
      </c>
      <c r="R55" s="29" t="s">
        <v>223</v>
      </c>
      <c r="S55" s="50" t="s">
        <v>57</v>
      </c>
      <c r="T55" s="51" t="s">
        <v>58</v>
      </c>
      <c r="U55" s="74"/>
      <c r="V55" s="74"/>
      <c r="W55" s="29"/>
    </row>
    <row r="56" s="1" customFormat="1" ht="27" spans="1:23">
      <c r="A56" s="51" t="s">
        <v>217</v>
      </c>
      <c r="B56" s="47" t="s">
        <v>101</v>
      </c>
      <c r="C56" s="47" t="s">
        <v>218</v>
      </c>
      <c r="D56" s="50" t="s">
        <v>219</v>
      </c>
      <c r="E56" s="50" t="s">
        <v>220</v>
      </c>
      <c r="F56" s="50">
        <v>60</v>
      </c>
      <c r="G56" s="50"/>
      <c r="H56" s="50"/>
      <c r="I56" s="50"/>
      <c r="J56" s="50"/>
      <c r="K56" s="50">
        <v>2024.3</v>
      </c>
      <c r="L56" s="50">
        <v>4</v>
      </c>
      <c r="M56" s="50">
        <v>60</v>
      </c>
      <c r="N56" s="47" t="s">
        <v>30</v>
      </c>
      <c r="O56" s="65" t="s">
        <v>231</v>
      </c>
      <c r="P56" s="65" t="s">
        <v>232</v>
      </c>
      <c r="Q56" s="29" t="s">
        <v>148</v>
      </c>
      <c r="R56" s="29" t="s">
        <v>228</v>
      </c>
      <c r="S56" s="50" t="s">
        <v>57</v>
      </c>
      <c r="T56" s="51" t="s">
        <v>58</v>
      </c>
      <c r="U56" s="74"/>
      <c r="V56" s="74"/>
      <c r="W56" s="29"/>
    </row>
    <row r="57" s="1" customFormat="1" ht="27" spans="1:23">
      <c r="A57" s="51" t="s">
        <v>217</v>
      </c>
      <c r="B57" s="47" t="s">
        <v>101</v>
      </c>
      <c r="C57" s="47" t="s">
        <v>218</v>
      </c>
      <c r="D57" s="50" t="s">
        <v>219</v>
      </c>
      <c r="E57" s="50" t="s">
        <v>220</v>
      </c>
      <c r="F57" s="50">
        <v>60</v>
      </c>
      <c r="G57" s="50"/>
      <c r="H57" s="50"/>
      <c r="I57" s="50"/>
      <c r="J57" s="50"/>
      <c r="K57" s="50">
        <v>2024.3</v>
      </c>
      <c r="L57" s="50">
        <v>4</v>
      </c>
      <c r="M57" s="50">
        <v>60</v>
      </c>
      <c r="N57" s="47" t="s">
        <v>30</v>
      </c>
      <c r="O57" s="69" t="s">
        <v>233</v>
      </c>
      <c r="P57" s="69" t="s">
        <v>234</v>
      </c>
      <c r="Q57" s="29" t="s">
        <v>148</v>
      </c>
      <c r="R57" s="29" t="s">
        <v>228</v>
      </c>
      <c r="S57" s="50" t="s">
        <v>57</v>
      </c>
      <c r="T57" s="51" t="s">
        <v>58</v>
      </c>
      <c r="U57" s="74"/>
      <c r="V57" s="74"/>
      <c r="W57" s="29"/>
    </row>
    <row r="58" s="1" customFormat="1" ht="27" spans="1:23">
      <c r="A58" s="51" t="s">
        <v>217</v>
      </c>
      <c r="B58" s="47" t="s">
        <v>101</v>
      </c>
      <c r="C58" s="47" t="s">
        <v>218</v>
      </c>
      <c r="D58" s="50" t="s">
        <v>219</v>
      </c>
      <c r="E58" s="50" t="s">
        <v>220</v>
      </c>
      <c r="F58" s="50">
        <v>60</v>
      </c>
      <c r="G58" s="50"/>
      <c r="H58" s="50"/>
      <c r="I58" s="50"/>
      <c r="J58" s="50"/>
      <c r="K58" s="50">
        <v>2024.3</v>
      </c>
      <c r="L58" s="50">
        <v>4</v>
      </c>
      <c r="M58" s="50">
        <v>60</v>
      </c>
      <c r="N58" s="47" t="s">
        <v>30</v>
      </c>
      <c r="O58" s="69" t="s">
        <v>235</v>
      </c>
      <c r="P58" s="69" t="s">
        <v>236</v>
      </c>
      <c r="Q58" s="29" t="s">
        <v>144</v>
      </c>
      <c r="R58" s="29" t="s">
        <v>223</v>
      </c>
      <c r="S58" s="50" t="s">
        <v>57</v>
      </c>
      <c r="T58" s="51" t="s">
        <v>58</v>
      </c>
      <c r="U58" s="74"/>
      <c r="V58" s="74"/>
      <c r="W58" s="29"/>
    </row>
    <row r="59" s="1" customFormat="1" ht="27" spans="1:23">
      <c r="A59" s="51" t="s">
        <v>217</v>
      </c>
      <c r="B59" s="47" t="s">
        <v>101</v>
      </c>
      <c r="C59" s="47" t="s">
        <v>218</v>
      </c>
      <c r="D59" s="50" t="s">
        <v>219</v>
      </c>
      <c r="E59" s="50" t="s">
        <v>220</v>
      </c>
      <c r="F59" s="50">
        <v>60</v>
      </c>
      <c r="G59" s="50"/>
      <c r="H59" s="50"/>
      <c r="I59" s="50"/>
      <c r="J59" s="50"/>
      <c r="K59" s="50">
        <v>2024.3</v>
      </c>
      <c r="L59" s="50">
        <v>4</v>
      </c>
      <c r="M59" s="50">
        <v>60</v>
      </c>
      <c r="N59" s="47" t="s">
        <v>30</v>
      </c>
      <c r="O59" s="69" t="s">
        <v>237</v>
      </c>
      <c r="P59" s="69" t="s">
        <v>237</v>
      </c>
      <c r="Q59" s="29" t="s">
        <v>144</v>
      </c>
      <c r="R59" s="29" t="s">
        <v>223</v>
      </c>
      <c r="S59" s="50" t="s">
        <v>57</v>
      </c>
      <c r="T59" s="51" t="s">
        <v>58</v>
      </c>
      <c r="U59" s="74"/>
      <c r="V59" s="74"/>
      <c r="W59" s="29"/>
    </row>
    <row r="60" s="1" customFormat="1" ht="27" spans="1:23">
      <c r="A60" s="51" t="s">
        <v>217</v>
      </c>
      <c r="B60" s="47" t="s">
        <v>101</v>
      </c>
      <c r="C60" s="47" t="s">
        <v>218</v>
      </c>
      <c r="D60" s="47" t="s">
        <v>238</v>
      </c>
      <c r="E60" s="47" t="s">
        <v>239</v>
      </c>
      <c r="F60" s="47">
        <v>1</v>
      </c>
      <c r="G60" s="47"/>
      <c r="H60" s="47"/>
      <c r="I60" s="47"/>
      <c r="J60" s="47"/>
      <c r="K60" s="47">
        <v>2024.1</v>
      </c>
      <c r="L60" s="47">
        <v>25</v>
      </c>
      <c r="M60" s="47">
        <v>1</v>
      </c>
      <c r="N60" s="47" t="s">
        <v>30</v>
      </c>
      <c r="O60" s="73" t="s">
        <v>240</v>
      </c>
      <c r="P60" s="56" t="s">
        <v>241</v>
      </c>
      <c r="Q60" s="29" t="s">
        <v>148</v>
      </c>
      <c r="R60" s="29" t="s">
        <v>228</v>
      </c>
      <c r="S60" s="50" t="s">
        <v>57</v>
      </c>
      <c r="T60" s="51" t="s">
        <v>58</v>
      </c>
      <c r="U60" s="74"/>
      <c r="V60" s="74"/>
      <c r="W60" s="29"/>
    </row>
    <row r="61" s="1" customFormat="1" ht="27" spans="1:23">
      <c r="A61" s="51" t="s">
        <v>217</v>
      </c>
      <c r="B61" s="47" t="s">
        <v>101</v>
      </c>
      <c r="C61" s="47" t="s">
        <v>218</v>
      </c>
      <c r="D61" s="47" t="s">
        <v>238</v>
      </c>
      <c r="E61" s="47" t="s">
        <v>239</v>
      </c>
      <c r="F61" s="47">
        <v>1</v>
      </c>
      <c r="G61" s="47"/>
      <c r="H61" s="47"/>
      <c r="I61" s="47"/>
      <c r="J61" s="47"/>
      <c r="K61" s="47">
        <v>2024.1</v>
      </c>
      <c r="L61" s="47">
        <v>25</v>
      </c>
      <c r="M61" s="47">
        <v>1</v>
      </c>
      <c r="N61" s="47" t="s">
        <v>30</v>
      </c>
      <c r="O61" s="73" t="s">
        <v>242</v>
      </c>
      <c r="P61" s="56" t="s">
        <v>243</v>
      </c>
      <c r="Q61" s="29" t="s">
        <v>144</v>
      </c>
      <c r="R61" s="29" t="s">
        <v>223</v>
      </c>
      <c r="S61" s="50" t="s">
        <v>57</v>
      </c>
      <c r="T61" s="51" t="s">
        <v>58</v>
      </c>
      <c r="U61" s="74"/>
      <c r="V61" s="74"/>
      <c r="W61" s="29"/>
    </row>
    <row r="62" s="1" customFormat="1" ht="27" spans="1:23">
      <c r="A62" s="51" t="s">
        <v>217</v>
      </c>
      <c r="B62" s="47" t="s">
        <v>101</v>
      </c>
      <c r="C62" s="47" t="s">
        <v>218</v>
      </c>
      <c r="D62" s="47" t="s">
        <v>238</v>
      </c>
      <c r="E62" s="47" t="s">
        <v>239</v>
      </c>
      <c r="F62" s="47">
        <v>1</v>
      </c>
      <c r="G62" s="47"/>
      <c r="H62" s="47"/>
      <c r="I62" s="47"/>
      <c r="J62" s="47"/>
      <c r="K62" s="47">
        <v>2024.1</v>
      </c>
      <c r="L62" s="47">
        <v>25</v>
      </c>
      <c r="M62" s="47">
        <v>1</v>
      </c>
      <c r="N62" s="47" t="s">
        <v>30</v>
      </c>
      <c r="O62" s="65" t="s">
        <v>244</v>
      </c>
      <c r="P62" s="65" t="s">
        <v>245</v>
      </c>
      <c r="Q62" s="29" t="s">
        <v>148</v>
      </c>
      <c r="R62" s="29" t="s">
        <v>228</v>
      </c>
      <c r="S62" s="50" t="s">
        <v>57</v>
      </c>
      <c r="T62" s="51" t="s">
        <v>58</v>
      </c>
      <c r="U62" s="74"/>
      <c r="V62" s="74"/>
      <c r="W62" s="29"/>
    </row>
    <row r="63" s="1" customFormat="1" ht="27" spans="1:23">
      <c r="A63" s="51" t="s">
        <v>217</v>
      </c>
      <c r="B63" s="47" t="s">
        <v>101</v>
      </c>
      <c r="C63" s="47" t="s">
        <v>218</v>
      </c>
      <c r="D63" s="47" t="s">
        <v>238</v>
      </c>
      <c r="E63" s="47" t="s">
        <v>239</v>
      </c>
      <c r="F63" s="47">
        <v>1</v>
      </c>
      <c r="G63" s="47"/>
      <c r="H63" s="47"/>
      <c r="I63" s="47"/>
      <c r="J63" s="47"/>
      <c r="K63" s="47">
        <v>2024.1</v>
      </c>
      <c r="L63" s="47">
        <v>25</v>
      </c>
      <c r="M63" s="47">
        <v>1</v>
      </c>
      <c r="N63" s="47" t="s">
        <v>30</v>
      </c>
      <c r="O63" s="65" t="s">
        <v>246</v>
      </c>
      <c r="P63" s="65" t="s">
        <v>247</v>
      </c>
      <c r="Q63" s="29" t="s">
        <v>248</v>
      </c>
      <c r="R63" s="29" t="s">
        <v>249</v>
      </c>
      <c r="S63" s="50" t="s">
        <v>57</v>
      </c>
      <c r="T63" s="51" t="s">
        <v>58</v>
      </c>
      <c r="U63" s="74"/>
      <c r="V63" s="74"/>
      <c r="W63" s="29"/>
    </row>
    <row r="64" s="1" customFormat="1" ht="27" spans="1:23">
      <c r="A64" s="51" t="s">
        <v>217</v>
      </c>
      <c r="B64" s="47" t="s">
        <v>101</v>
      </c>
      <c r="C64" s="47" t="s">
        <v>218</v>
      </c>
      <c r="D64" s="47" t="s">
        <v>250</v>
      </c>
      <c r="E64" s="47" t="s">
        <v>251</v>
      </c>
      <c r="F64" s="47">
        <v>1</v>
      </c>
      <c r="G64" s="47"/>
      <c r="H64" s="47"/>
      <c r="I64" s="47"/>
      <c r="J64" s="47"/>
      <c r="K64" s="47">
        <v>2024.1</v>
      </c>
      <c r="L64" s="47">
        <v>25</v>
      </c>
      <c r="M64" s="47">
        <v>1</v>
      </c>
      <c r="N64" s="47" t="s">
        <v>30</v>
      </c>
      <c r="O64" s="65" t="s">
        <v>252</v>
      </c>
      <c r="P64" s="65" t="s">
        <v>253</v>
      </c>
      <c r="Q64" s="29" t="s">
        <v>175</v>
      </c>
      <c r="R64" s="29" t="s">
        <v>175</v>
      </c>
      <c r="S64" s="50" t="s">
        <v>57</v>
      </c>
      <c r="T64" s="51" t="s">
        <v>58</v>
      </c>
      <c r="U64" s="74"/>
      <c r="V64" s="74"/>
      <c r="W64" s="29"/>
    </row>
    <row r="65" s="1" customFormat="1" ht="27" spans="1:23">
      <c r="A65" s="51" t="s">
        <v>217</v>
      </c>
      <c r="B65" s="47" t="s">
        <v>101</v>
      </c>
      <c r="C65" s="47" t="s">
        <v>218</v>
      </c>
      <c r="D65" s="47" t="s">
        <v>250</v>
      </c>
      <c r="E65" s="47" t="s">
        <v>251</v>
      </c>
      <c r="F65" s="47">
        <v>1</v>
      </c>
      <c r="G65" s="47"/>
      <c r="H65" s="47"/>
      <c r="I65" s="47"/>
      <c r="J65" s="47"/>
      <c r="K65" s="47">
        <v>2024.1</v>
      </c>
      <c r="L65" s="47">
        <v>25</v>
      </c>
      <c r="M65" s="47">
        <v>1</v>
      </c>
      <c r="N65" s="47" t="s">
        <v>30</v>
      </c>
      <c r="O65" s="65" t="s">
        <v>254</v>
      </c>
      <c r="P65" s="65" t="s">
        <v>255</v>
      </c>
      <c r="Q65" s="29" t="s">
        <v>175</v>
      </c>
      <c r="R65" s="29" t="s">
        <v>175</v>
      </c>
      <c r="S65" s="50" t="s">
        <v>57</v>
      </c>
      <c r="T65" s="51" t="s">
        <v>58</v>
      </c>
      <c r="U65" s="74"/>
      <c r="V65" s="74"/>
      <c r="W65" s="29"/>
    </row>
    <row r="66" s="1" customFormat="1" ht="27" spans="1:23">
      <c r="A66" s="51" t="s">
        <v>217</v>
      </c>
      <c r="B66" s="47" t="s">
        <v>101</v>
      </c>
      <c r="C66" s="47" t="s">
        <v>218</v>
      </c>
      <c r="D66" s="47" t="s">
        <v>250</v>
      </c>
      <c r="E66" s="47" t="s">
        <v>251</v>
      </c>
      <c r="F66" s="47">
        <v>1</v>
      </c>
      <c r="G66" s="47"/>
      <c r="H66" s="47"/>
      <c r="I66" s="47"/>
      <c r="J66" s="47"/>
      <c r="K66" s="47">
        <v>2024.1</v>
      </c>
      <c r="L66" s="47">
        <v>25</v>
      </c>
      <c r="M66" s="47">
        <v>1</v>
      </c>
      <c r="N66" s="47" t="s">
        <v>30</v>
      </c>
      <c r="O66" s="65" t="s">
        <v>256</v>
      </c>
      <c r="P66" s="65" t="s">
        <v>257</v>
      </c>
      <c r="Q66" s="29" t="s">
        <v>175</v>
      </c>
      <c r="R66" s="29" t="s">
        <v>175</v>
      </c>
      <c r="S66" s="50" t="s">
        <v>57</v>
      </c>
      <c r="T66" s="51" t="s">
        <v>58</v>
      </c>
      <c r="U66" s="74"/>
      <c r="V66" s="74"/>
      <c r="W66" s="29"/>
    </row>
    <row r="67" s="1" customFormat="1" ht="30" customHeight="1" spans="1:23">
      <c r="A67" s="74" t="s">
        <v>258</v>
      </c>
      <c r="B67" s="47" t="s">
        <v>259</v>
      </c>
      <c r="C67" s="47"/>
      <c r="D67" s="47"/>
      <c r="E67" s="47"/>
      <c r="F67" s="47"/>
      <c r="G67" s="47"/>
      <c r="H67" s="47"/>
      <c r="I67" s="47"/>
      <c r="J67" s="47"/>
      <c r="K67" s="47"/>
      <c r="L67" s="47"/>
      <c r="M67" s="47"/>
      <c r="N67" s="47"/>
      <c r="O67" s="56" t="s">
        <v>260</v>
      </c>
      <c r="P67" s="56" t="s">
        <v>261</v>
      </c>
      <c r="Q67" s="29" t="s">
        <v>262</v>
      </c>
      <c r="R67" s="29" t="s">
        <v>263</v>
      </c>
      <c r="S67" s="74" t="s">
        <v>264</v>
      </c>
      <c r="T67" s="74"/>
      <c r="U67" s="74"/>
      <c r="V67" s="74"/>
      <c r="W67" s="29"/>
    </row>
    <row r="68" s="1" customFormat="1" ht="27" spans="1:23">
      <c r="A68" s="67" t="s">
        <v>265</v>
      </c>
      <c r="B68" s="49" t="s">
        <v>101</v>
      </c>
      <c r="C68" s="47" t="s">
        <v>266</v>
      </c>
      <c r="D68" s="47" t="s">
        <v>267</v>
      </c>
      <c r="E68" s="47" t="s">
        <v>268</v>
      </c>
      <c r="F68" s="29">
        <v>5</v>
      </c>
      <c r="G68" s="29"/>
      <c r="H68" s="29"/>
      <c r="I68" s="29"/>
      <c r="J68" s="29"/>
      <c r="K68" s="37">
        <v>2024.7</v>
      </c>
      <c r="L68" s="29">
        <v>30</v>
      </c>
      <c r="M68" s="29">
        <v>5</v>
      </c>
      <c r="N68" s="49" t="s">
        <v>52</v>
      </c>
      <c r="O68" s="65" t="s">
        <v>269</v>
      </c>
      <c r="P68" s="65" t="s">
        <v>270</v>
      </c>
      <c r="Q68" s="29" t="s">
        <v>55</v>
      </c>
      <c r="R68" s="45" t="s">
        <v>271</v>
      </c>
      <c r="S68" s="47" t="s">
        <v>57</v>
      </c>
      <c r="T68" s="51" t="s">
        <v>146</v>
      </c>
      <c r="U68" s="74"/>
      <c r="V68" s="74"/>
      <c r="W68" s="29"/>
    </row>
    <row r="69" s="1" customFormat="1" ht="27" spans="1:23">
      <c r="A69" s="67" t="s">
        <v>265</v>
      </c>
      <c r="B69" s="49" t="s">
        <v>101</v>
      </c>
      <c r="C69" s="50" t="s">
        <v>272</v>
      </c>
      <c r="D69" s="50" t="s">
        <v>273</v>
      </c>
      <c r="E69" s="50" t="s">
        <v>274</v>
      </c>
      <c r="F69" s="50">
        <v>2</v>
      </c>
      <c r="G69" s="50"/>
      <c r="H69" s="50"/>
      <c r="I69" s="50"/>
      <c r="J69" s="50"/>
      <c r="K69" s="50" t="s">
        <v>275</v>
      </c>
      <c r="L69" s="50">
        <v>12</v>
      </c>
      <c r="M69" s="50">
        <v>2</v>
      </c>
      <c r="N69" s="49" t="s">
        <v>52</v>
      </c>
      <c r="O69" s="66" t="s">
        <v>276</v>
      </c>
      <c r="P69" s="66" t="s">
        <v>277</v>
      </c>
      <c r="Q69" s="29" t="s">
        <v>278</v>
      </c>
      <c r="R69" s="45" t="s">
        <v>279</v>
      </c>
      <c r="S69" s="47" t="s">
        <v>57</v>
      </c>
      <c r="T69" s="51" t="s">
        <v>146</v>
      </c>
      <c r="U69" s="74"/>
      <c r="V69" s="74"/>
      <c r="W69" s="29"/>
    </row>
    <row r="70" s="1" customFormat="1" spans="1:23">
      <c r="A70" s="67" t="s">
        <v>265</v>
      </c>
      <c r="B70" s="49" t="s">
        <v>101</v>
      </c>
      <c r="C70" s="50" t="s">
        <v>272</v>
      </c>
      <c r="D70" s="50" t="s">
        <v>273</v>
      </c>
      <c r="E70" s="50" t="s">
        <v>274</v>
      </c>
      <c r="F70" s="50">
        <v>2</v>
      </c>
      <c r="G70" s="50"/>
      <c r="H70" s="50"/>
      <c r="I70" s="50"/>
      <c r="J70" s="50"/>
      <c r="K70" s="50" t="s">
        <v>275</v>
      </c>
      <c r="L70" s="50">
        <v>12</v>
      </c>
      <c r="M70" s="50">
        <v>2</v>
      </c>
      <c r="N70" s="49" t="s">
        <v>52</v>
      </c>
      <c r="O70" s="66" t="s">
        <v>280</v>
      </c>
      <c r="P70" s="66" t="s">
        <v>281</v>
      </c>
      <c r="Q70" s="29" t="s">
        <v>92</v>
      </c>
      <c r="R70" s="45" t="s">
        <v>93</v>
      </c>
      <c r="S70" s="47" t="s">
        <v>57</v>
      </c>
      <c r="T70" s="51" t="s">
        <v>146</v>
      </c>
      <c r="U70" s="74"/>
      <c r="V70" s="74"/>
      <c r="W70" s="29"/>
    </row>
    <row r="71" s="1" customFormat="1" spans="1:23">
      <c r="A71" s="67" t="s">
        <v>265</v>
      </c>
      <c r="B71" s="49" t="s">
        <v>101</v>
      </c>
      <c r="C71" s="42" t="s">
        <v>272</v>
      </c>
      <c r="D71" s="42" t="s">
        <v>282</v>
      </c>
      <c r="E71" s="42" t="s">
        <v>283</v>
      </c>
      <c r="F71" s="42">
        <v>2</v>
      </c>
      <c r="G71" s="42"/>
      <c r="H71" s="42"/>
      <c r="I71" s="42"/>
      <c r="J71" s="42"/>
      <c r="K71" s="42">
        <v>2024.8</v>
      </c>
      <c r="L71" s="42">
        <v>28</v>
      </c>
      <c r="M71" s="42">
        <v>2</v>
      </c>
      <c r="N71" s="49" t="s">
        <v>52</v>
      </c>
      <c r="O71" s="65" t="s">
        <v>284</v>
      </c>
      <c r="P71" s="65" t="s">
        <v>285</v>
      </c>
      <c r="Q71" s="29" t="s">
        <v>33</v>
      </c>
      <c r="R71" s="45" t="s">
        <v>286</v>
      </c>
      <c r="S71" s="47" t="s">
        <v>57</v>
      </c>
      <c r="T71" s="51" t="s">
        <v>146</v>
      </c>
      <c r="U71" s="74"/>
      <c r="V71" s="74"/>
      <c r="W71" s="29"/>
    </row>
    <row r="72" s="1" customFormat="1" spans="1:23">
      <c r="A72" s="78" t="s">
        <v>287</v>
      </c>
      <c r="B72" s="47" t="s">
        <v>101</v>
      </c>
      <c r="C72" s="47" t="s">
        <v>288</v>
      </c>
      <c r="D72" s="47" t="s">
        <v>289</v>
      </c>
      <c r="E72" s="47" t="s">
        <v>290</v>
      </c>
      <c r="F72" s="47">
        <v>1</v>
      </c>
      <c r="G72" s="47"/>
      <c r="H72" s="47"/>
      <c r="I72" s="47"/>
      <c r="J72" s="47"/>
      <c r="K72" s="47">
        <v>2024.11</v>
      </c>
      <c r="L72" s="47">
        <v>18</v>
      </c>
      <c r="M72" s="47">
        <v>1</v>
      </c>
      <c r="N72" s="47" t="s">
        <v>170</v>
      </c>
      <c r="O72" s="40" t="s">
        <v>291</v>
      </c>
      <c r="P72" s="29" t="s">
        <v>292</v>
      </c>
      <c r="Q72" s="29" t="s">
        <v>293</v>
      </c>
      <c r="R72" s="29" t="s">
        <v>294</v>
      </c>
      <c r="S72" s="81" t="s">
        <v>57</v>
      </c>
      <c r="T72" s="81" t="s">
        <v>146</v>
      </c>
      <c r="U72" s="74"/>
      <c r="V72" s="74"/>
      <c r="W72" s="29"/>
    </row>
    <row r="73" s="16" customFormat="1" spans="1:23">
      <c r="A73" s="78" t="s">
        <v>287</v>
      </c>
      <c r="B73" s="47" t="s">
        <v>101</v>
      </c>
      <c r="C73" s="47" t="s">
        <v>288</v>
      </c>
      <c r="D73" s="47" t="s">
        <v>289</v>
      </c>
      <c r="E73" s="47" t="s">
        <v>290</v>
      </c>
      <c r="F73" s="47">
        <v>1</v>
      </c>
      <c r="G73" s="47"/>
      <c r="H73" s="47"/>
      <c r="I73" s="47"/>
      <c r="J73" s="47"/>
      <c r="K73" s="47">
        <v>2024.11</v>
      </c>
      <c r="L73" s="47">
        <v>18</v>
      </c>
      <c r="M73" s="47">
        <v>1</v>
      </c>
      <c r="N73" s="47" t="s">
        <v>170</v>
      </c>
      <c r="O73" s="40" t="s">
        <v>295</v>
      </c>
      <c r="P73" s="29" t="s">
        <v>296</v>
      </c>
      <c r="Q73" s="29" t="s">
        <v>293</v>
      </c>
      <c r="R73" s="29" t="s">
        <v>294</v>
      </c>
      <c r="S73" s="81" t="s">
        <v>57</v>
      </c>
      <c r="T73" s="81" t="s">
        <v>146</v>
      </c>
      <c r="U73" s="74"/>
      <c r="V73" s="74"/>
      <c r="W73" s="29"/>
    </row>
    <row r="74" s="16" customFormat="1" ht="27" spans="1:23">
      <c r="A74" s="78" t="s">
        <v>287</v>
      </c>
      <c r="B74" s="47" t="s">
        <v>101</v>
      </c>
      <c r="C74" s="47" t="s">
        <v>288</v>
      </c>
      <c r="D74" s="47" t="s">
        <v>289</v>
      </c>
      <c r="E74" s="47" t="s">
        <v>290</v>
      </c>
      <c r="F74" s="47">
        <v>1</v>
      </c>
      <c r="G74" s="47"/>
      <c r="H74" s="47"/>
      <c r="I74" s="47"/>
      <c r="J74" s="47"/>
      <c r="K74" s="47">
        <v>2024.11</v>
      </c>
      <c r="L74" s="47">
        <v>18</v>
      </c>
      <c r="M74" s="47">
        <v>1</v>
      </c>
      <c r="N74" s="47" t="s">
        <v>170</v>
      </c>
      <c r="O74" s="40" t="s">
        <v>297</v>
      </c>
      <c r="P74" s="29" t="s">
        <v>298</v>
      </c>
      <c r="Q74" s="29" t="s">
        <v>148</v>
      </c>
      <c r="R74" s="29" t="s">
        <v>149</v>
      </c>
      <c r="S74" s="81" t="s">
        <v>57</v>
      </c>
      <c r="T74" s="81" t="s">
        <v>146</v>
      </c>
      <c r="U74" s="74"/>
      <c r="V74" s="74"/>
      <c r="W74" s="29"/>
    </row>
    <row r="75" s="33" customFormat="1" ht="28.5" spans="1:23">
      <c r="A75" s="78" t="s">
        <v>287</v>
      </c>
      <c r="B75" s="47" t="s">
        <v>101</v>
      </c>
      <c r="C75" s="47" t="s">
        <v>288</v>
      </c>
      <c r="D75" s="47" t="s">
        <v>289</v>
      </c>
      <c r="E75" s="47" t="s">
        <v>290</v>
      </c>
      <c r="F75" s="47">
        <v>1</v>
      </c>
      <c r="G75" s="47"/>
      <c r="H75" s="47"/>
      <c r="I75" s="47"/>
      <c r="J75" s="47"/>
      <c r="K75" s="47">
        <v>2024.11</v>
      </c>
      <c r="L75" s="47">
        <v>18</v>
      </c>
      <c r="M75" s="47">
        <v>1</v>
      </c>
      <c r="N75" s="47" t="s">
        <v>170</v>
      </c>
      <c r="O75" s="40" t="s">
        <v>299</v>
      </c>
      <c r="P75" s="29" t="s">
        <v>300</v>
      </c>
      <c r="Q75" s="29" t="s">
        <v>148</v>
      </c>
      <c r="R75" s="29" t="s">
        <v>149</v>
      </c>
      <c r="S75" s="81" t="s">
        <v>57</v>
      </c>
      <c r="T75" s="81" t="s">
        <v>146</v>
      </c>
      <c r="U75" s="82"/>
      <c r="V75" s="82"/>
      <c r="W75" s="83"/>
    </row>
    <row r="76" s="33" customFormat="1" ht="27" spans="1:23">
      <c r="A76" s="78" t="s">
        <v>287</v>
      </c>
      <c r="B76" s="47" t="s">
        <v>101</v>
      </c>
      <c r="C76" s="47" t="s">
        <v>288</v>
      </c>
      <c r="D76" s="47" t="s">
        <v>289</v>
      </c>
      <c r="E76" s="47" t="s">
        <v>290</v>
      </c>
      <c r="F76" s="47">
        <v>1</v>
      </c>
      <c r="G76" s="47"/>
      <c r="H76" s="47"/>
      <c r="I76" s="47"/>
      <c r="J76" s="47"/>
      <c r="K76" s="47">
        <v>2024.11</v>
      </c>
      <c r="L76" s="47">
        <v>18</v>
      </c>
      <c r="M76" s="47">
        <v>1</v>
      </c>
      <c r="N76" s="47" t="s">
        <v>170</v>
      </c>
      <c r="O76" s="40" t="s">
        <v>301</v>
      </c>
      <c r="P76" s="29" t="s">
        <v>302</v>
      </c>
      <c r="Q76" s="29" t="s">
        <v>148</v>
      </c>
      <c r="R76" s="29" t="s">
        <v>149</v>
      </c>
      <c r="S76" s="81" t="s">
        <v>57</v>
      </c>
      <c r="T76" s="81" t="s">
        <v>146</v>
      </c>
      <c r="U76" s="82"/>
      <c r="V76" s="82"/>
      <c r="W76" s="83"/>
    </row>
    <row r="77" s="33" customFormat="1" ht="28.5" spans="1:23">
      <c r="A77" s="78" t="s">
        <v>287</v>
      </c>
      <c r="B77" s="47" t="s">
        <v>101</v>
      </c>
      <c r="C77" s="47" t="s">
        <v>288</v>
      </c>
      <c r="D77" s="47" t="s">
        <v>289</v>
      </c>
      <c r="E77" s="47" t="s">
        <v>290</v>
      </c>
      <c r="F77" s="47">
        <v>1</v>
      </c>
      <c r="G77" s="47"/>
      <c r="H77" s="47"/>
      <c r="I77" s="47"/>
      <c r="J77" s="47"/>
      <c r="K77" s="47">
        <v>2024.11</v>
      </c>
      <c r="L77" s="47">
        <v>18</v>
      </c>
      <c r="M77" s="47">
        <v>1</v>
      </c>
      <c r="N77" s="47" t="s">
        <v>170</v>
      </c>
      <c r="O77" s="40" t="s">
        <v>303</v>
      </c>
      <c r="P77" s="29" t="s">
        <v>304</v>
      </c>
      <c r="Q77" s="29" t="s">
        <v>148</v>
      </c>
      <c r="R77" s="29" t="s">
        <v>149</v>
      </c>
      <c r="S77" s="81" t="s">
        <v>57</v>
      </c>
      <c r="T77" s="81" t="s">
        <v>146</v>
      </c>
      <c r="U77" s="82"/>
      <c r="V77" s="82"/>
      <c r="W77" s="83"/>
    </row>
    <row r="78" s="33" customFormat="1" ht="27" spans="1:23">
      <c r="A78" s="78" t="s">
        <v>287</v>
      </c>
      <c r="B78" s="47" t="s">
        <v>101</v>
      </c>
      <c r="C78" s="47" t="s">
        <v>288</v>
      </c>
      <c r="D78" s="47" t="s">
        <v>289</v>
      </c>
      <c r="E78" s="47" t="s">
        <v>290</v>
      </c>
      <c r="F78" s="47">
        <v>1</v>
      </c>
      <c r="G78" s="47"/>
      <c r="H78" s="47"/>
      <c r="I78" s="47"/>
      <c r="J78" s="47"/>
      <c r="K78" s="47">
        <v>2024.11</v>
      </c>
      <c r="L78" s="47">
        <v>18</v>
      </c>
      <c r="M78" s="47">
        <v>1</v>
      </c>
      <c r="N78" s="47" t="s">
        <v>170</v>
      </c>
      <c r="O78" s="40" t="s">
        <v>305</v>
      </c>
      <c r="P78" s="29" t="s">
        <v>306</v>
      </c>
      <c r="Q78" s="29" t="s">
        <v>148</v>
      </c>
      <c r="R78" s="29" t="s">
        <v>149</v>
      </c>
      <c r="S78" s="81" t="s">
        <v>57</v>
      </c>
      <c r="T78" s="81" t="s">
        <v>146</v>
      </c>
      <c r="U78" s="82"/>
      <c r="V78" s="82"/>
      <c r="W78" s="83"/>
    </row>
    <row r="79" s="33" customFormat="1" ht="27" spans="1:23">
      <c r="A79" s="78" t="s">
        <v>287</v>
      </c>
      <c r="B79" s="47" t="s">
        <v>101</v>
      </c>
      <c r="C79" s="47" t="s">
        <v>288</v>
      </c>
      <c r="D79" s="47" t="s">
        <v>289</v>
      </c>
      <c r="E79" s="47" t="s">
        <v>290</v>
      </c>
      <c r="F79" s="47">
        <v>1</v>
      </c>
      <c r="G79" s="47"/>
      <c r="H79" s="47"/>
      <c r="I79" s="47"/>
      <c r="J79" s="47"/>
      <c r="K79" s="47">
        <v>2024.11</v>
      </c>
      <c r="L79" s="47">
        <v>18</v>
      </c>
      <c r="M79" s="47">
        <v>1</v>
      </c>
      <c r="N79" s="47" t="s">
        <v>170</v>
      </c>
      <c r="O79" s="40" t="s">
        <v>307</v>
      </c>
      <c r="P79" s="29" t="s">
        <v>308</v>
      </c>
      <c r="Q79" s="29" t="s">
        <v>148</v>
      </c>
      <c r="R79" s="29" t="s">
        <v>149</v>
      </c>
      <c r="S79" s="81" t="s">
        <v>57</v>
      </c>
      <c r="T79" s="81" t="s">
        <v>146</v>
      </c>
      <c r="U79" s="82"/>
      <c r="V79" s="82"/>
      <c r="W79" s="83"/>
    </row>
    <row r="80" s="2" customFormat="1" ht="28.5" spans="1:23">
      <c r="A80" s="78" t="s">
        <v>287</v>
      </c>
      <c r="B80" s="47" t="s">
        <v>101</v>
      </c>
      <c r="C80" s="47" t="s">
        <v>288</v>
      </c>
      <c r="D80" s="47" t="s">
        <v>289</v>
      </c>
      <c r="E80" s="47" t="s">
        <v>290</v>
      </c>
      <c r="F80" s="47">
        <v>1</v>
      </c>
      <c r="G80" s="47"/>
      <c r="H80" s="47"/>
      <c r="I80" s="47"/>
      <c r="J80" s="47"/>
      <c r="K80" s="47">
        <v>2024.11</v>
      </c>
      <c r="L80" s="47">
        <v>18</v>
      </c>
      <c r="M80" s="47">
        <v>1</v>
      </c>
      <c r="N80" s="47" t="s">
        <v>170</v>
      </c>
      <c r="O80" s="40" t="s">
        <v>309</v>
      </c>
      <c r="P80" s="29" t="s">
        <v>310</v>
      </c>
      <c r="Q80" s="29" t="s">
        <v>148</v>
      </c>
      <c r="R80" s="29" t="s">
        <v>149</v>
      </c>
      <c r="S80" s="81" t="s">
        <v>57</v>
      </c>
      <c r="T80" s="81" t="s">
        <v>146</v>
      </c>
      <c r="U80" s="32"/>
      <c r="V80" s="32"/>
      <c r="W80" s="40"/>
    </row>
    <row r="81" s="2" customFormat="1" ht="28.5" spans="1:23">
      <c r="A81" s="78" t="s">
        <v>287</v>
      </c>
      <c r="B81" s="47" t="s">
        <v>101</v>
      </c>
      <c r="C81" s="47" t="s">
        <v>288</v>
      </c>
      <c r="D81" s="47" t="s">
        <v>289</v>
      </c>
      <c r="E81" s="47" t="s">
        <v>290</v>
      </c>
      <c r="F81" s="47">
        <v>1</v>
      </c>
      <c r="G81" s="47"/>
      <c r="H81" s="47"/>
      <c r="I81" s="47"/>
      <c r="J81" s="47"/>
      <c r="K81" s="47">
        <v>2024.11</v>
      </c>
      <c r="L81" s="47">
        <v>18</v>
      </c>
      <c r="M81" s="47">
        <v>1</v>
      </c>
      <c r="N81" s="47" t="s">
        <v>170</v>
      </c>
      <c r="O81" s="40" t="s">
        <v>311</v>
      </c>
      <c r="P81" s="29" t="s">
        <v>312</v>
      </c>
      <c r="Q81" s="29" t="s">
        <v>148</v>
      </c>
      <c r="R81" s="29" t="s">
        <v>149</v>
      </c>
      <c r="S81" s="81" t="s">
        <v>57</v>
      </c>
      <c r="T81" s="81" t="s">
        <v>146</v>
      </c>
      <c r="U81" s="32"/>
      <c r="V81" s="32"/>
      <c r="W81" s="40"/>
    </row>
    <row r="82" s="2" customFormat="1" ht="27" spans="1:23">
      <c r="A82" s="78" t="s">
        <v>287</v>
      </c>
      <c r="B82" s="47" t="s">
        <v>101</v>
      </c>
      <c r="C82" s="47" t="s">
        <v>288</v>
      </c>
      <c r="D82" s="47" t="s">
        <v>289</v>
      </c>
      <c r="E82" s="47" t="s">
        <v>290</v>
      </c>
      <c r="F82" s="47">
        <v>1</v>
      </c>
      <c r="G82" s="47"/>
      <c r="H82" s="47"/>
      <c r="I82" s="47"/>
      <c r="J82" s="47"/>
      <c r="K82" s="47">
        <v>2024.11</v>
      </c>
      <c r="L82" s="47">
        <v>18</v>
      </c>
      <c r="M82" s="47">
        <v>1</v>
      </c>
      <c r="N82" s="47" t="s">
        <v>170</v>
      </c>
      <c r="O82" s="40" t="s">
        <v>313</v>
      </c>
      <c r="P82" s="29" t="s">
        <v>314</v>
      </c>
      <c r="Q82" s="29" t="s">
        <v>148</v>
      </c>
      <c r="R82" s="29" t="s">
        <v>149</v>
      </c>
      <c r="S82" s="81" t="s">
        <v>57</v>
      </c>
      <c r="T82" s="81" t="s">
        <v>146</v>
      </c>
      <c r="U82" s="32"/>
      <c r="V82" s="32"/>
      <c r="W82" s="40"/>
    </row>
    <row r="83" s="2" customFormat="1" ht="28.5" spans="1:23">
      <c r="A83" s="78" t="s">
        <v>287</v>
      </c>
      <c r="B83" s="47" t="s">
        <v>101</v>
      </c>
      <c r="C83" s="47" t="s">
        <v>288</v>
      </c>
      <c r="D83" s="47" t="s">
        <v>289</v>
      </c>
      <c r="E83" s="47" t="s">
        <v>290</v>
      </c>
      <c r="F83" s="47">
        <v>1</v>
      </c>
      <c r="G83" s="47"/>
      <c r="H83" s="47"/>
      <c r="I83" s="47"/>
      <c r="J83" s="47"/>
      <c r="K83" s="47">
        <v>2024.11</v>
      </c>
      <c r="L83" s="47">
        <v>18</v>
      </c>
      <c r="M83" s="47">
        <v>1</v>
      </c>
      <c r="N83" s="47" t="s">
        <v>170</v>
      </c>
      <c r="O83" s="40" t="s">
        <v>315</v>
      </c>
      <c r="P83" s="29" t="s">
        <v>316</v>
      </c>
      <c r="Q83" s="29" t="s">
        <v>144</v>
      </c>
      <c r="R83" s="29" t="s">
        <v>145</v>
      </c>
      <c r="S83" s="81" t="s">
        <v>57</v>
      </c>
      <c r="T83" s="81" t="s">
        <v>146</v>
      </c>
      <c r="U83" s="32"/>
      <c r="V83" s="32"/>
      <c r="W83" s="40"/>
    </row>
    <row r="84" s="2" customFormat="1" ht="27" spans="1:23">
      <c r="A84" s="78" t="s">
        <v>287</v>
      </c>
      <c r="B84" s="47" t="s">
        <v>101</v>
      </c>
      <c r="C84" s="47" t="s">
        <v>288</v>
      </c>
      <c r="D84" s="47" t="s">
        <v>289</v>
      </c>
      <c r="E84" s="47" t="s">
        <v>290</v>
      </c>
      <c r="F84" s="47">
        <v>1</v>
      </c>
      <c r="G84" s="47"/>
      <c r="H84" s="47"/>
      <c r="I84" s="47"/>
      <c r="J84" s="47"/>
      <c r="K84" s="47">
        <v>2024.11</v>
      </c>
      <c r="L84" s="47">
        <v>18</v>
      </c>
      <c r="M84" s="47">
        <v>1</v>
      </c>
      <c r="N84" s="47" t="s">
        <v>170</v>
      </c>
      <c r="O84" s="40" t="s">
        <v>317</v>
      </c>
      <c r="P84" s="29" t="s">
        <v>318</v>
      </c>
      <c r="Q84" s="29" t="s">
        <v>148</v>
      </c>
      <c r="R84" s="29" t="s">
        <v>149</v>
      </c>
      <c r="S84" s="81" t="s">
        <v>57</v>
      </c>
      <c r="T84" s="81" t="s">
        <v>146</v>
      </c>
      <c r="U84" s="32"/>
      <c r="V84" s="32"/>
      <c r="W84" s="40"/>
    </row>
    <row r="85" s="2" customFormat="1" ht="27" spans="1:23">
      <c r="A85" s="78" t="s">
        <v>287</v>
      </c>
      <c r="B85" s="47" t="s">
        <v>101</v>
      </c>
      <c r="C85" s="47" t="s">
        <v>288</v>
      </c>
      <c r="D85" s="47" t="s">
        <v>289</v>
      </c>
      <c r="E85" s="47" t="s">
        <v>290</v>
      </c>
      <c r="F85" s="47">
        <v>1</v>
      </c>
      <c r="G85" s="47"/>
      <c r="H85" s="47"/>
      <c r="I85" s="47"/>
      <c r="J85" s="47"/>
      <c r="K85" s="47">
        <v>2024.11</v>
      </c>
      <c r="L85" s="47">
        <v>18</v>
      </c>
      <c r="M85" s="47">
        <v>1</v>
      </c>
      <c r="N85" s="47" t="s">
        <v>170</v>
      </c>
      <c r="O85" s="40" t="s">
        <v>319</v>
      </c>
      <c r="P85" s="29" t="s">
        <v>320</v>
      </c>
      <c r="Q85" s="29" t="s">
        <v>148</v>
      </c>
      <c r="R85" s="29" t="s">
        <v>149</v>
      </c>
      <c r="S85" s="81" t="s">
        <v>57</v>
      </c>
      <c r="T85" s="81" t="s">
        <v>146</v>
      </c>
      <c r="U85" s="32"/>
      <c r="V85" s="32"/>
      <c r="W85" s="40"/>
    </row>
    <row r="86" s="2" customFormat="1" ht="27" spans="1:23">
      <c r="A86" s="78" t="s">
        <v>287</v>
      </c>
      <c r="B86" s="47" t="s">
        <v>101</v>
      </c>
      <c r="C86" s="47" t="s">
        <v>288</v>
      </c>
      <c r="D86" s="47" t="s">
        <v>289</v>
      </c>
      <c r="E86" s="47" t="s">
        <v>290</v>
      </c>
      <c r="F86" s="47">
        <v>1</v>
      </c>
      <c r="G86" s="47"/>
      <c r="H86" s="47"/>
      <c r="I86" s="47"/>
      <c r="J86" s="47"/>
      <c r="K86" s="47">
        <v>2024.11</v>
      </c>
      <c r="L86" s="47">
        <v>18</v>
      </c>
      <c r="M86" s="47">
        <v>1</v>
      </c>
      <c r="N86" s="47" t="s">
        <v>170</v>
      </c>
      <c r="O86" s="40" t="s">
        <v>321</v>
      </c>
      <c r="P86" s="29" t="s">
        <v>322</v>
      </c>
      <c r="Q86" s="29" t="s">
        <v>148</v>
      </c>
      <c r="R86" s="29" t="s">
        <v>149</v>
      </c>
      <c r="S86" s="81" t="s">
        <v>57</v>
      </c>
      <c r="T86" s="81" t="s">
        <v>146</v>
      </c>
      <c r="U86" s="32"/>
      <c r="V86" s="32"/>
      <c r="W86" s="40"/>
    </row>
    <row r="87" s="2" customFormat="1" ht="28.5" spans="1:23">
      <c r="A87" s="78" t="s">
        <v>287</v>
      </c>
      <c r="B87" s="47" t="s">
        <v>101</v>
      </c>
      <c r="C87" s="47" t="s">
        <v>288</v>
      </c>
      <c r="D87" s="47" t="s">
        <v>289</v>
      </c>
      <c r="E87" s="47" t="s">
        <v>290</v>
      </c>
      <c r="F87" s="47">
        <v>1</v>
      </c>
      <c r="G87" s="47"/>
      <c r="H87" s="47"/>
      <c r="I87" s="47"/>
      <c r="J87" s="47"/>
      <c r="K87" s="47">
        <v>2024.11</v>
      </c>
      <c r="L87" s="47">
        <v>18</v>
      </c>
      <c r="M87" s="47">
        <v>1</v>
      </c>
      <c r="N87" s="47" t="s">
        <v>170</v>
      </c>
      <c r="O87" s="40" t="s">
        <v>323</v>
      </c>
      <c r="P87" s="29" t="s">
        <v>324</v>
      </c>
      <c r="Q87" s="29" t="s">
        <v>148</v>
      </c>
      <c r="R87" s="29" t="s">
        <v>149</v>
      </c>
      <c r="S87" s="81" t="s">
        <v>57</v>
      </c>
      <c r="T87" s="81" t="s">
        <v>146</v>
      </c>
      <c r="U87" s="32"/>
      <c r="V87" s="32"/>
      <c r="W87" s="40"/>
    </row>
    <row r="88" s="2" customFormat="1" ht="28.5" spans="1:23">
      <c r="A88" s="78" t="s">
        <v>287</v>
      </c>
      <c r="B88" s="47" t="s">
        <v>101</v>
      </c>
      <c r="C88" s="47" t="s">
        <v>288</v>
      </c>
      <c r="D88" s="47" t="s">
        <v>289</v>
      </c>
      <c r="E88" s="47" t="s">
        <v>290</v>
      </c>
      <c r="F88" s="47">
        <v>1</v>
      </c>
      <c r="G88" s="47"/>
      <c r="H88" s="47"/>
      <c r="I88" s="47"/>
      <c r="J88" s="47"/>
      <c r="K88" s="47">
        <v>2024.11</v>
      </c>
      <c r="L88" s="47">
        <v>18</v>
      </c>
      <c r="M88" s="47">
        <v>1</v>
      </c>
      <c r="N88" s="47" t="s">
        <v>170</v>
      </c>
      <c r="O88" s="40" t="s">
        <v>325</v>
      </c>
      <c r="P88" s="29" t="s">
        <v>326</v>
      </c>
      <c r="Q88" s="29" t="s">
        <v>148</v>
      </c>
      <c r="R88" s="29" t="s">
        <v>149</v>
      </c>
      <c r="S88" s="81" t="s">
        <v>57</v>
      </c>
      <c r="T88" s="81" t="s">
        <v>146</v>
      </c>
      <c r="U88" s="32"/>
      <c r="V88" s="32"/>
      <c r="W88" s="40"/>
    </row>
    <row r="89" s="2" customFormat="1" ht="28.5" spans="1:23">
      <c r="A89" s="78" t="s">
        <v>287</v>
      </c>
      <c r="B89" s="47" t="s">
        <v>101</v>
      </c>
      <c r="C89" s="47" t="s">
        <v>288</v>
      </c>
      <c r="D89" s="47" t="s">
        <v>289</v>
      </c>
      <c r="E89" s="47" t="s">
        <v>290</v>
      </c>
      <c r="F89" s="47">
        <v>1</v>
      </c>
      <c r="G89" s="47"/>
      <c r="H89" s="47"/>
      <c r="I89" s="47"/>
      <c r="J89" s="47"/>
      <c r="K89" s="47">
        <v>2024.11</v>
      </c>
      <c r="L89" s="47">
        <v>18</v>
      </c>
      <c r="M89" s="47">
        <v>1</v>
      </c>
      <c r="N89" s="47" t="s">
        <v>170</v>
      </c>
      <c r="O89" s="40" t="s">
        <v>327</v>
      </c>
      <c r="P89" s="29" t="s">
        <v>328</v>
      </c>
      <c r="Q89" s="29" t="s">
        <v>148</v>
      </c>
      <c r="R89" s="29" t="s">
        <v>149</v>
      </c>
      <c r="S89" s="81" t="s">
        <v>57</v>
      </c>
      <c r="T89" s="81" t="s">
        <v>146</v>
      </c>
      <c r="U89" s="32"/>
      <c r="V89" s="32"/>
      <c r="W89" s="40"/>
    </row>
    <row r="90" s="2" customFormat="1" spans="1:23">
      <c r="A90" s="78" t="s">
        <v>287</v>
      </c>
      <c r="B90" s="79" t="s">
        <v>25</v>
      </c>
      <c r="C90" s="79" t="s">
        <v>288</v>
      </c>
      <c r="D90" s="79" t="s">
        <v>329</v>
      </c>
      <c r="E90" s="79" t="s">
        <v>330</v>
      </c>
      <c r="F90" s="79">
        <v>1</v>
      </c>
      <c r="G90" s="79"/>
      <c r="H90" s="79"/>
      <c r="I90" s="79"/>
      <c r="J90" s="79"/>
      <c r="K90" s="79" t="s">
        <v>119</v>
      </c>
      <c r="L90" s="79">
        <v>30</v>
      </c>
      <c r="M90" s="79">
        <v>1</v>
      </c>
      <c r="N90" s="79" t="s">
        <v>170</v>
      </c>
      <c r="O90" s="40" t="s">
        <v>331</v>
      </c>
      <c r="P90" s="29" t="s">
        <v>332</v>
      </c>
      <c r="Q90" s="40" t="s">
        <v>55</v>
      </c>
      <c r="R90" s="40" t="s">
        <v>56</v>
      </c>
      <c r="S90" s="81" t="s">
        <v>57</v>
      </c>
      <c r="T90" s="81" t="s">
        <v>146</v>
      </c>
      <c r="U90" s="32"/>
      <c r="V90" s="32"/>
      <c r="W90" s="40"/>
    </row>
    <row r="91" s="2" customFormat="1" spans="1:23">
      <c r="A91" s="78" t="s">
        <v>287</v>
      </c>
      <c r="B91" s="79" t="s">
        <v>25</v>
      </c>
      <c r="C91" s="79" t="s">
        <v>288</v>
      </c>
      <c r="D91" s="79" t="s">
        <v>329</v>
      </c>
      <c r="E91" s="79" t="s">
        <v>330</v>
      </c>
      <c r="F91" s="79">
        <v>1</v>
      </c>
      <c r="G91" s="79"/>
      <c r="H91" s="79"/>
      <c r="I91" s="79"/>
      <c r="J91" s="79"/>
      <c r="K91" s="79" t="s">
        <v>119</v>
      </c>
      <c r="L91" s="79">
        <v>30</v>
      </c>
      <c r="M91" s="79">
        <v>1</v>
      </c>
      <c r="N91" s="79" t="s">
        <v>170</v>
      </c>
      <c r="O91" s="40" t="s">
        <v>333</v>
      </c>
      <c r="P91" s="29" t="s">
        <v>334</v>
      </c>
      <c r="Q91" s="40" t="s">
        <v>55</v>
      </c>
      <c r="R91" s="40" t="s">
        <v>56</v>
      </c>
      <c r="S91" s="81" t="s">
        <v>57</v>
      </c>
      <c r="T91" s="81" t="s">
        <v>146</v>
      </c>
      <c r="U91" s="32"/>
      <c r="V91" s="32"/>
      <c r="W91" s="40"/>
    </row>
    <row r="92" s="2" customFormat="1" spans="1:23">
      <c r="A92" s="78" t="s">
        <v>287</v>
      </c>
      <c r="B92" s="79" t="s">
        <v>25</v>
      </c>
      <c r="C92" s="79" t="s">
        <v>288</v>
      </c>
      <c r="D92" s="79" t="s">
        <v>329</v>
      </c>
      <c r="E92" s="79" t="s">
        <v>330</v>
      </c>
      <c r="F92" s="79">
        <v>1</v>
      </c>
      <c r="G92" s="79"/>
      <c r="H92" s="79"/>
      <c r="I92" s="79"/>
      <c r="J92" s="79"/>
      <c r="K92" s="79" t="s">
        <v>119</v>
      </c>
      <c r="L92" s="79">
        <v>30</v>
      </c>
      <c r="M92" s="79">
        <v>1</v>
      </c>
      <c r="N92" s="79" t="s">
        <v>170</v>
      </c>
      <c r="O92" s="40" t="s">
        <v>335</v>
      </c>
      <c r="P92" s="29" t="s">
        <v>336</v>
      </c>
      <c r="Q92" s="29" t="s">
        <v>144</v>
      </c>
      <c r="R92" s="29" t="s">
        <v>145</v>
      </c>
      <c r="S92" s="81" t="s">
        <v>57</v>
      </c>
      <c r="T92" s="81" t="s">
        <v>146</v>
      </c>
      <c r="U92" s="32"/>
      <c r="V92" s="32"/>
      <c r="W92" s="40"/>
    </row>
    <row r="93" s="2" customFormat="1" spans="1:23">
      <c r="A93" s="78" t="s">
        <v>287</v>
      </c>
      <c r="B93" s="79" t="s">
        <v>25</v>
      </c>
      <c r="C93" s="79" t="s">
        <v>288</v>
      </c>
      <c r="D93" s="79" t="s">
        <v>329</v>
      </c>
      <c r="E93" s="79" t="s">
        <v>330</v>
      </c>
      <c r="F93" s="79">
        <v>1</v>
      </c>
      <c r="G93" s="79"/>
      <c r="H93" s="79"/>
      <c r="I93" s="79"/>
      <c r="J93" s="79"/>
      <c r="K93" s="79" t="s">
        <v>119</v>
      </c>
      <c r="L93" s="79">
        <v>30</v>
      </c>
      <c r="M93" s="79">
        <v>1</v>
      </c>
      <c r="N93" s="79" t="s">
        <v>170</v>
      </c>
      <c r="O93" s="40" t="s">
        <v>337</v>
      </c>
      <c r="P93" s="29" t="s">
        <v>338</v>
      </c>
      <c r="Q93" s="40" t="s">
        <v>55</v>
      </c>
      <c r="R93" s="40" t="s">
        <v>56</v>
      </c>
      <c r="S93" s="81" t="s">
        <v>57</v>
      </c>
      <c r="T93" s="81" t="s">
        <v>146</v>
      </c>
      <c r="U93" s="32"/>
      <c r="V93" s="32"/>
      <c r="W93" s="40"/>
    </row>
    <row r="94" s="2" customFormat="1" spans="1:23">
      <c r="A94" s="78" t="s">
        <v>287</v>
      </c>
      <c r="B94" s="79" t="s">
        <v>25</v>
      </c>
      <c r="C94" s="79" t="s">
        <v>288</v>
      </c>
      <c r="D94" s="79" t="s">
        <v>329</v>
      </c>
      <c r="E94" s="79" t="s">
        <v>330</v>
      </c>
      <c r="F94" s="79">
        <v>1</v>
      </c>
      <c r="G94" s="79"/>
      <c r="H94" s="79"/>
      <c r="I94" s="79"/>
      <c r="J94" s="79"/>
      <c r="K94" s="79" t="s">
        <v>119</v>
      </c>
      <c r="L94" s="79">
        <v>30</v>
      </c>
      <c r="M94" s="79">
        <v>1</v>
      </c>
      <c r="N94" s="79" t="s">
        <v>170</v>
      </c>
      <c r="O94" s="40" t="s">
        <v>339</v>
      </c>
      <c r="P94" s="29" t="s">
        <v>340</v>
      </c>
      <c r="Q94" s="29" t="s">
        <v>144</v>
      </c>
      <c r="R94" s="29" t="s">
        <v>145</v>
      </c>
      <c r="S94" s="81" t="s">
        <v>57</v>
      </c>
      <c r="T94" s="81" t="s">
        <v>146</v>
      </c>
      <c r="U94" s="32"/>
      <c r="V94" s="32"/>
      <c r="W94" s="40"/>
    </row>
    <row r="95" s="2" customFormat="1" spans="1:23">
      <c r="A95" s="16"/>
      <c r="C95" s="17"/>
      <c r="D95" s="17"/>
      <c r="K95" s="18"/>
      <c r="O95" s="25"/>
      <c r="P95" s="25"/>
      <c r="Q95" s="17"/>
      <c r="R95" s="17"/>
      <c r="S95" s="2"/>
      <c r="T95" s="2"/>
      <c r="U95" s="2"/>
      <c r="V95" s="2"/>
      <c r="W95" s="17"/>
    </row>
    <row r="96" s="2" customFormat="1" spans="1:23">
      <c r="A96" s="16"/>
      <c r="C96" s="17"/>
      <c r="D96" s="17"/>
      <c r="K96" s="18"/>
      <c r="O96" s="25"/>
      <c r="P96" s="25"/>
      <c r="Q96" s="17"/>
      <c r="R96" s="17"/>
      <c r="S96" s="2"/>
      <c r="T96" s="2"/>
      <c r="U96" s="2"/>
      <c r="V96" s="2"/>
      <c r="W96" s="17"/>
    </row>
    <row r="97" s="2" customFormat="1" spans="1:23">
      <c r="A97" s="16"/>
      <c r="C97" s="17"/>
      <c r="D97" s="17"/>
      <c r="K97" s="18"/>
      <c r="O97" s="25"/>
      <c r="P97" s="25"/>
      <c r="Q97" s="17"/>
      <c r="R97" s="17"/>
      <c r="S97" s="2"/>
      <c r="T97" s="2"/>
      <c r="U97" s="2"/>
      <c r="V97" s="2"/>
      <c r="W97" s="17"/>
    </row>
    <row r="98" s="2" customFormat="1" spans="1:23">
      <c r="A98" s="16"/>
      <c r="C98" s="17"/>
      <c r="D98" s="17"/>
      <c r="K98" s="18"/>
      <c r="O98" s="25"/>
      <c r="P98" s="25"/>
      <c r="Q98" s="17"/>
      <c r="R98" s="17"/>
      <c r="S98" s="2"/>
      <c r="T98" s="2"/>
      <c r="U98" s="2"/>
      <c r="V98" s="2"/>
      <c r="W98" s="17"/>
    </row>
    <row r="99" s="2" customFormat="1" spans="1:23">
      <c r="A99" s="16"/>
      <c r="C99" s="17"/>
      <c r="D99" s="17"/>
      <c r="K99" s="18"/>
      <c r="O99" s="25"/>
      <c r="P99" s="25"/>
      <c r="Q99" s="17"/>
      <c r="R99" s="17"/>
      <c r="S99" s="2"/>
      <c r="T99" s="2"/>
      <c r="U99" s="2"/>
      <c r="V99" s="2"/>
      <c r="W99" s="17"/>
    </row>
    <row r="100" s="2" customFormat="1" spans="1:23">
      <c r="A100" s="16"/>
      <c r="C100" s="17"/>
      <c r="D100" s="17"/>
      <c r="K100" s="18"/>
      <c r="O100" s="25"/>
      <c r="P100" s="25"/>
      <c r="Q100" s="17"/>
      <c r="R100" s="17"/>
      <c r="S100" s="2"/>
      <c r="T100" s="2"/>
      <c r="U100" s="2"/>
      <c r="V100" s="2"/>
      <c r="W100" s="17"/>
    </row>
  </sheetData>
  <autoFilter xmlns:etc="http://www.wps.cn/officeDocument/2017/etCustomData" ref="A2:W94" etc:filterBottomFollowUsedRange="0">
    <extLst/>
  </autoFilter>
  <mergeCells count="11">
    <mergeCell ref="A1:W1"/>
    <mergeCell ref="D5:D6"/>
    <mergeCell ref="E5:E6"/>
    <mergeCell ref="F5:F6"/>
    <mergeCell ref="G5:G6"/>
    <mergeCell ref="H5:H6"/>
    <mergeCell ref="I5:I6"/>
    <mergeCell ref="J5:J6"/>
    <mergeCell ref="K5:K6"/>
    <mergeCell ref="L5:L6"/>
    <mergeCell ref="M5:M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H14"/>
  <sheetViews>
    <sheetView tabSelected="1" workbookViewId="0">
      <selection activeCell="A1" sqref="A1:H1"/>
    </sheetView>
  </sheetViews>
  <sheetFormatPr defaultColWidth="9" defaultRowHeight="14.25" outlineLevelCol="7"/>
  <cols>
    <col min="1" max="1" width="11.125" customWidth="1"/>
    <col min="2" max="2" width="12.375" customWidth="1"/>
    <col min="3" max="8" width="11.125" customWidth="1"/>
  </cols>
  <sheetData>
    <row r="1" ht="30" customHeight="1" spans="1:8">
      <c r="A1" s="114" t="s">
        <v>341</v>
      </c>
      <c r="B1" s="115"/>
      <c r="C1" s="115"/>
      <c r="D1" s="115"/>
      <c r="E1" s="115"/>
      <c r="F1" s="115"/>
      <c r="G1" s="115"/>
      <c r="H1" s="116"/>
    </row>
    <row r="2" ht="35" customHeight="1" spans="1:8">
      <c r="A2" s="117" t="s">
        <v>17</v>
      </c>
      <c r="B2" s="118" t="s">
        <v>342</v>
      </c>
      <c r="C2" s="119" t="s">
        <v>343</v>
      </c>
      <c r="D2" s="120"/>
      <c r="E2" s="119" t="s">
        <v>344</v>
      </c>
      <c r="F2" s="120"/>
      <c r="G2" s="121" t="s">
        <v>345</v>
      </c>
      <c r="H2" s="122" t="s">
        <v>346</v>
      </c>
    </row>
    <row r="3" ht="25" customHeight="1" spans="1:8">
      <c r="A3" s="123" t="s">
        <v>175</v>
      </c>
      <c r="B3" s="74">
        <v>12</v>
      </c>
      <c r="C3" s="124">
        <v>66</v>
      </c>
      <c r="D3" s="125">
        <f t="shared" ref="D3:D11" si="0">B3/C3*100%</f>
        <v>0.181818181818182</v>
      </c>
      <c r="E3" s="126">
        <v>323</v>
      </c>
      <c r="F3" s="127">
        <f t="shared" ref="F3:F11" si="1">B3/E3*100%</f>
        <v>0.0371517027863777</v>
      </c>
      <c r="G3" s="128">
        <f>(B3+B4+B5+B6+B7+B8+B9+B10+B11)/105*100%</f>
        <v>3.4</v>
      </c>
      <c r="H3" s="128">
        <f>(B3+B4+B5+B6+B7+B8+B9+B10+B11)/538*100%</f>
        <v>0.663568773234201</v>
      </c>
    </row>
    <row r="4" ht="25" customHeight="1" spans="1:8">
      <c r="A4" s="129" t="s">
        <v>61</v>
      </c>
      <c r="B4" s="74">
        <v>55</v>
      </c>
      <c r="C4" s="124">
        <v>66</v>
      </c>
      <c r="D4" s="125">
        <f t="shared" si="0"/>
        <v>0.833333333333333</v>
      </c>
      <c r="E4" s="126">
        <v>323</v>
      </c>
      <c r="F4" s="127">
        <f t="shared" si="1"/>
        <v>0.170278637770898</v>
      </c>
      <c r="G4" s="130"/>
      <c r="H4" s="130"/>
    </row>
    <row r="5" ht="25" customHeight="1" spans="1:8">
      <c r="A5" s="129" t="s">
        <v>33</v>
      </c>
      <c r="B5" s="74">
        <v>36</v>
      </c>
      <c r="C5" s="124">
        <v>66</v>
      </c>
      <c r="D5" s="125">
        <f t="shared" si="0"/>
        <v>0.545454545454545</v>
      </c>
      <c r="E5" s="126">
        <v>323</v>
      </c>
      <c r="F5" s="127">
        <f t="shared" si="1"/>
        <v>0.111455108359133</v>
      </c>
      <c r="G5" s="130"/>
      <c r="H5" s="130"/>
    </row>
    <row r="6" ht="25" customHeight="1" spans="1:8">
      <c r="A6" s="129" t="s">
        <v>92</v>
      </c>
      <c r="B6" s="74">
        <v>41</v>
      </c>
      <c r="C6" s="124">
        <v>66</v>
      </c>
      <c r="D6" s="125">
        <f t="shared" si="0"/>
        <v>0.621212121212121</v>
      </c>
      <c r="E6" s="126">
        <v>323</v>
      </c>
      <c r="F6" s="127">
        <f t="shared" si="1"/>
        <v>0.126934984520124</v>
      </c>
      <c r="G6" s="130"/>
      <c r="H6" s="130"/>
    </row>
    <row r="7" ht="25" customHeight="1" spans="1:8">
      <c r="A7" s="129" t="s">
        <v>55</v>
      </c>
      <c r="B7" s="74">
        <v>62</v>
      </c>
      <c r="C7" s="124">
        <v>66</v>
      </c>
      <c r="D7" s="125">
        <f t="shared" si="0"/>
        <v>0.939393939393939</v>
      </c>
      <c r="E7" s="126">
        <v>323</v>
      </c>
      <c r="F7" s="127">
        <f t="shared" si="1"/>
        <v>0.191950464396285</v>
      </c>
      <c r="G7" s="130"/>
      <c r="H7" s="130"/>
    </row>
    <row r="8" ht="22" customHeight="1" spans="1:8">
      <c r="A8" s="129" t="s">
        <v>347</v>
      </c>
      <c r="B8" s="74">
        <v>142</v>
      </c>
      <c r="C8" s="124">
        <v>66</v>
      </c>
      <c r="D8" s="125">
        <f t="shared" si="0"/>
        <v>2.15151515151515</v>
      </c>
      <c r="E8" s="126">
        <v>323</v>
      </c>
      <c r="F8" s="127">
        <f t="shared" si="1"/>
        <v>0.439628482972136</v>
      </c>
      <c r="G8" s="130"/>
      <c r="H8" s="130"/>
    </row>
    <row r="9" ht="22" customHeight="1" spans="1:8">
      <c r="A9" s="129" t="s">
        <v>211</v>
      </c>
      <c r="B9" s="131">
        <v>7</v>
      </c>
      <c r="C9" s="124">
        <v>66</v>
      </c>
      <c r="D9" s="125">
        <f t="shared" si="0"/>
        <v>0.106060606060606</v>
      </c>
      <c r="E9" s="126">
        <v>323</v>
      </c>
      <c r="F9" s="127">
        <f t="shared" si="1"/>
        <v>0.021671826625387</v>
      </c>
      <c r="G9" s="130"/>
      <c r="H9" s="130"/>
    </row>
    <row r="10" ht="18" customHeight="1" spans="1:8">
      <c r="A10" s="129" t="s">
        <v>262</v>
      </c>
      <c r="B10" s="131">
        <v>1</v>
      </c>
      <c r="C10" s="132">
        <v>14</v>
      </c>
      <c r="D10" s="125">
        <f t="shared" si="0"/>
        <v>0.0714285714285714</v>
      </c>
      <c r="E10" s="132">
        <v>50</v>
      </c>
      <c r="F10" s="127">
        <f t="shared" si="1"/>
        <v>0.02</v>
      </c>
      <c r="G10" s="130"/>
      <c r="H10" s="130"/>
    </row>
    <row r="11" ht="18" customHeight="1" spans="1:8">
      <c r="A11" s="133" t="s">
        <v>348</v>
      </c>
      <c r="B11" s="132">
        <v>1</v>
      </c>
      <c r="C11" s="132">
        <v>25</v>
      </c>
      <c r="D11" s="125">
        <f t="shared" si="0"/>
        <v>0.04</v>
      </c>
      <c r="E11" s="132">
        <v>165</v>
      </c>
      <c r="F11" s="127">
        <f t="shared" si="1"/>
        <v>0.00606060606060606</v>
      </c>
      <c r="G11" s="134"/>
      <c r="H11" s="134"/>
    </row>
    <row r="12" spans="7:8">
      <c r="G12" s="135"/>
      <c r="H12" s="135"/>
    </row>
    <row r="14" ht="19" customHeight="1" spans="1:1">
      <c r="A14" s="136" t="s">
        <v>349</v>
      </c>
    </row>
  </sheetData>
  <mergeCells count="5">
    <mergeCell ref="A1:H1"/>
    <mergeCell ref="C2:D2"/>
    <mergeCell ref="E2:F2"/>
    <mergeCell ref="G3:G11"/>
    <mergeCell ref="H3:H11"/>
  </mergeCells>
  <hyperlinks>
    <hyperlink ref="A3" location="客户!A1" display="客户"/>
    <hyperlink ref="A4" location="采购!A1" display="采购"/>
    <hyperlink ref="A5" location="生产!A1" display="生产"/>
    <hyperlink ref="A6" location="电气!A1" display="电气"/>
    <hyperlink ref="A7" location="测试!A1" display="测试"/>
    <hyperlink ref="A8" location="机械!A1" display="机械"/>
    <hyperlink ref="A9" location="研发!A1" display="研发"/>
    <hyperlink ref="A10" location="销售!A1" display="销售"/>
    <hyperlink ref="A11" location="PMC!A1" display="PMC"/>
  </hyperlinks>
  <pageMargins left="0.75" right="0.75" top="1" bottom="1" header="0.5" footer="0.5"/>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4"/>
  <sheetViews>
    <sheetView workbookViewId="0">
      <pane xSplit="1" ySplit="2" topLeftCell="B3" activePane="bottomRight" state="frozen"/>
      <selection/>
      <selection pane="topRight"/>
      <selection pane="bottomLeft"/>
      <selection pane="bottomRight" activeCell="A1" sqref="A1:S1"/>
    </sheetView>
  </sheetViews>
  <sheetFormatPr defaultColWidth="11" defaultRowHeight="14.25"/>
  <cols>
    <col min="1" max="1" width="11" style="1"/>
    <col min="2" max="2" width="11" style="3"/>
    <col min="3" max="3" width="11" style="4"/>
    <col min="4" max="4" width="21.2166666666667" style="4" customWidth="1"/>
    <col min="5" max="5" width="14.1666666666667" style="3" customWidth="1"/>
    <col min="6" max="6" width="11" style="3"/>
    <col min="7" max="7" width="14.5" style="5"/>
    <col min="8" max="8" width="11.2083333333333" style="3"/>
    <col min="9" max="10" width="11" style="3"/>
    <col min="11" max="11" width="31.6416666666667" style="6" customWidth="1"/>
    <col min="12" max="12" width="40.6416666666667" style="6" customWidth="1"/>
    <col min="13" max="14" width="9.1" style="4"/>
    <col min="15" max="15" width="15" style="3" customWidth="1"/>
    <col min="16" max="16" width="10.6416666666667" style="3" customWidth="1"/>
    <col min="17" max="18" width="9.1" style="3"/>
    <col min="19" max="19" width="17.425" style="4" customWidth="1"/>
    <col min="20" max="16384" width="11" style="3"/>
  </cols>
  <sheetData>
    <row r="1" s="1" customFormat="1" ht="31.5" spans="1:19">
      <c r="A1" s="7" t="s">
        <v>350</v>
      </c>
      <c r="B1" s="8"/>
      <c r="C1" s="9"/>
      <c r="D1" s="9"/>
      <c r="E1" s="8"/>
      <c r="F1" s="8"/>
      <c r="G1" s="10"/>
      <c r="H1" s="8"/>
      <c r="I1" s="8"/>
      <c r="J1" s="8"/>
      <c r="K1" s="19"/>
      <c r="L1" s="19"/>
      <c r="M1" s="8"/>
      <c r="N1" s="8"/>
      <c r="O1" s="8"/>
      <c r="P1" s="8"/>
      <c r="Q1" s="8"/>
      <c r="R1" s="8"/>
      <c r="S1" s="26"/>
    </row>
    <row r="2" s="1" customFormat="1" ht="42.75" spans="1:19">
      <c r="A2" s="11" t="s">
        <v>1</v>
      </c>
      <c r="B2" s="12" t="s">
        <v>2</v>
      </c>
      <c r="C2" s="12" t="s">
        <v>3</v>
      </c>
      <c r="D2" s="13" t="s">
        <v>4</v>
      </c>
      <c r="E2" s="11" t="s">
        <v>5</v>
      </c>
      <c r="F2" s="12" t="s">
        <v>6</v>
      </c>
      <c r="G2" s="13" t="s">
        <v>11</v>
      </c>
      <c r="H2" s="12" t="s">
        <v>12</v>
      </c>
      <c r="I2" s="12" t="s">
        <v>13</v>
      </c>
      <c r="J2" s="12" t="s">
        <v>14</v>
      </c>
      <c r="K2" s="20" t="s">
        <v>15</v>
      </c>
      <c r="L2" s="20" t="s">
        <v>16</v>
      </c>
      <c r="M2" s="20" t="s">
        <v>17</v>
      </c>
      <c r="N2" s="20" t="s">
        <v>18</v>
      </c>
      <c r="O2" s="20" t="s">
        <v>19</v>
      </c>
      <c r="P2" s="20" t="s">
        <v>20</v>
      </c>
      <c r="Q2" s="20" t="s">
        <v>21</v>
      </c>
      <c r="R2" s="20" t="s">
        <v>22</v>
      </c>
      <c r="S2" s="20" t="s">
        <v>23</v>
      </c>
    </row>
    <row r="3" s="1" customFormat="1" ht="40.5" spans="1:19">
      <c r="A3" s="47" t="s">
        <v>166</v>
      </c>
      <c r="B3" s="47" t="s">
        <v>101</v>
      </c>
      <c r="C3" s="47" t="s">
        <v>167</v>
      </c>
      <c r="D3" s="47" t="s">
        <v>168</v>
      </c>
      <c r="E3" s="47" t="s">
        <v>169</v>
      </c>
      <c r="F3" s="47">
        <v>2</v>
      </c>
      <c r="G3" s="39" t="s">
        <v>39</v>
      </c>
      <c r="H3" s="47">
        <v>5</v>
      </c>
      <c r="I3" s="47">
        <v>2</v>
      </c>
      <c r="J3" s="47" t="s">
        <v>170</v>
      </c>
      <c r="K3" s="113" t="s">
        <v>173</v>
      </c>
      <c r="L3" s="56" t="s">
        <v>174</v>
      </c>
      <c r="M3" s="29" t="s">
        <v>175</v>
      </c>
      <c r="N3" s="57" t="s">
        <v>175</v>
      </c>
      <c r="O3" s="34" t="s">
        <v>57</v>
      </c>
      <c r="P3" s="34" t="s">
        <v>146</v>
      </c>
      <c r="Q3" s="74"/>
      <c r="R3" s="74"/>
      <c r="S3" s="29"/>
    </row>
    <row r="4" s="1" customFormat="1" ht="67.5" spans="1:19">
      <c r="A4" s="47" t="s">
        <v>166</v>
      </c>
      <c r="B4" s="47" t="s">
        <v>101</v>
      </c>
      <c r="C4" s="47" t="s">
        <v>176</v>
      </c>
      <c r="D4" s="47" t="s">
        <v>177</v>
      </c>
      <c r="E4" s="47" t="s">
        <v>178</v>
      </c>
      <c r="F4" s="47">
        <v>4</v>
      </c>
      <c r="G4" s="47" t="s">
        <v>179</v>
      </c>
      <c r="H4" s="47">
        <v>4</v>
      </c>
      <c r="I4" s="47">
        <v>4</v>
      </c>
      <c r="J4" s="47" t="s">
        <v>180</v>
      </c>
      <c r="K4" s="56" t="s">
        <v>181</v>
      </c>
      <c r="L4" s="56" t="s">
        <v>182</v>
      </c>
      <c r="M4" s="29" t="s">
        <v>175</v>
      </c>
      <c r="N4" s="57" t="s">
        <v>175</v>
      </c>
      <c r="O4" s="34" t="s">
        <v>57</v>
      </c>
      <c r="P4" s="34" t="s">
        <v>146</v>
      </c>
      <c r="Q4" s="75"/>
      <c r="R4" s="74"/>
      <c r="S4" s="29"/>
    </row>
    <row r="5" s="1" customFormat="1" ht="27" spans="1:19">
      <c r="A5" s="34" t="s">
        <v>217</v>
      </c>
      <c r="B5" s="47" t="s">
        <v>101</v>
      </c>
      <c r="C5" s="47" t="s">
        <v>218</v>
      </c>
      <c r="D5" s="47" t="s">
        <v>250</v>
      </c>
      <c r="E5" s="47" t="s">
        <v>251</v>
      </c>
      <c r="F5" s="47">
        <v>1</v>
      </c>
      <c r="G5" s="47">
        <v>2024.1</v>
      </c>
      <c r="H5" s="47">
        <v>25</v>
      </c>
      <c r="I5" s="47">
        <v>1</v>
      </c>
      <c r="J5" s="47" t="s">
        <v>30</v>
      </c>
      <c r="K5" s="65" t="s">
        <v>252</v>
      </c>
      <c r="L5" s="65" t="s">
        <v>253</v>
      </c>
      <c r="M5" s="29" t="s">
        <v>175</v>
      </c>
      <c r="N5" s="29" t="s">
        <v>175</v>
      </c>
      <c r="O5" s="47" t="s">
        <v>57</v>
      </c>
      <c r="P5" s="34" t="s">
        <v>58</v>
      </c>
      <c r="Q5" s="74"/>
      <c r="R5" s="74"/>
      <c r="S5" s="29"/>
    </row>
    <row r="6" s="1" customFormat="1" ht="27" spans="1:19">
      <c r="A6" s="34" t="s">
        <v>217</v>
      </c>
      <c r="B6" s="47" t="s">
        <v>101</v>
      </c>
      <c r="C6" s="47" t="s">
        <v>218</v>
      </c>
      <c r="D6" s="47" t="s">
        <v>250</v>
      </c>
      <c r="E6" s="47" t="s">
        <v>251</v>
      </c>
      <c r="F6" s="47">
        <v>1</v>
      </c>
      <c r="G6" s="47">
        <v>2024.1</v>
      </c>
      <c r="H6" s="47">
        <v>25</v>
      </c>
      <c r="I6" s="47">
        <v>1</v>
      </c>
      <c r="J6" s="47" t="s">
        <v>30</v>
      </c>
      <c r="K6" s="65" t="s">
        <v>254</v>
      </c>
      <c r="L6" s="65" t="s">
        <v>255</v>
      </c>
      <c r="M6" s="29" t="s">
        <v>175</v>
      </c>
      <c r="N6" s="29" t="s">
        <v>175</v>
      </c>
      <c r="O6" s="47" t="s">
        <v>57</v>
      </c>
      <c r="P6" s="34" t="s">
        <v>58</v>
      </c>
      <c r="Q6" s="74"/>
      <c r="R6" s="74"/>
      <c r="S6" s="29"/>
    </row>
    <row r="7" s="1" customFormat="1" ht="27" spans="1:19">
      <c r="A7" s="34" t="s">
        <v>217</v>
      </c>
      <c r="B7" s="47" t="s">
        <v>101</v>
      </c>
      <c r="C7" s="47" t="s">
        <v>218</v>
      </c>
      <c r="D7" s="47" t="s">
        <v>250</v>
      </c>
      <c r="E7" s="47" t="s">
        <v>251</v>
      </c>
      <c r="F7" s="47">
        <v>1</v>
      </c>
      <c r="G7" s="47">
        <v>2024.1</v>
      </c>
      <c r="H7" s="47">
        <v>25</v>
      </c>
      <c r="I7" s="47">
        <v>1</v>
      </c>
      <c r="J7" s="47" t="s">
        <v>30</v>
      </c>
      <c r="K7" s="65" t="s">
        <v>256</v>
      </c>
      <c r="L7" s="65" t="s">
        <v>257</v>
      </c>
      <c r="M7" s="29" t="s">
        <v>175</v>
      </c>
      <c r="N7" s="29" t="s">
        <v>175</v>
      </c>
      <c r="O7" s="47" t="s">
        <v>57</v>
      </c>
      <c r="P7" s="34" t="s">
        <v>58</v>
      </c>
      <c r="Q7" s="74"/>
      <c r="R7" s="74"/>
      <c r="S7" s="29"/>
    </row>
    <row r="8" s="2" customFormat="1" ht="28.5" spans="1:19">
      <c r="A8" s="21" t="s">
        <v>122</v>
      </c>
      <c r="B8" s="21" t="s">
        <v>25</v>
      </c>
      <c r="C8" s="21" t="s">
        <v>351</v>
      </c>
      <c r="D8" s="21" t="s">
        <v>352</v>
      </c>
      <c r="E8" s="21" t="s">
        <v>353</v>
      </c>
      <c r="F8" s="21">
        <v>1</v>
      </c>
      <c r="G8" s="21" t="s">
        <v>354</v>
      </c>
      <c r="H8" s="21"/>
      <c r="I8" s="21">
        <v>1</v>
      </c>
      <c r="J8" s="21" t="s">
        <v>170</v>
      </c>
      <c r="K8" s="21" t="s">
        <v>170</v>
      </c>
      <c r="L8" s="29" t="s">
        <v>355</v>
      </c>
      <c r="M8" s="89" t="s">
        <v>175</v>
      </c>
      <c r="N8" s="89" t="s">
        <v>356</v>
      </c>
      <c r="O8" s="24" t="s">
        <v>357</v>
      </c>
      <c r="P8" s="24" t="s">
        <v>358</v>
      </c>
      <c r="Q8" s="27"/>
      <c r="R8" s="27"/>
      <c r="S8" s="28"/>
    </row>
    <row r="9" s="2" customFormat="1" ht="40.5" spans="1:19">
      <c r="A9" s="21" t="s">
        <v>122</v>
      </c>
      <c r="B9" s="21" t="s">
        <v>25</v>
      </c>
      <c r="C9" s="21" t="s">
        <v>351</v>
      </c>
      <c r="D9" s="21" t="s">
        <v>352</v>
      </c>
      <c r="E9" s="21" t="s">
        <v>353</v>
      </c>
      <c r="F9" s="21">
        <v>1</v>
      </c>
      <c r="G9" s="21" t="s">
        <v>354</v>
      </c>
      <c r="H9" s="21"/>
      <c r="I9" s="21">
        <v>1</v>
      </c>
      <c r="J9" s="21" t="s">
        <v>170</v>
      </c>
      <c r="K9" s="29" t="s">
        <v>359</v>
      </c>
      <c r="L9" s="29" t="s">
        <v>359</v>
      </c>
      <c r="M9" s="89" t="s">
        <v>175</v>
      </c>
      <c r="N9" s="89" t="s">
        <v>356</v>
      </c>
      <c r="O9" s="24" t="s">
        <v>357</v>
      </c>
      <c r="P9" s="24" t="s">
        <v>358</v>
      </c>
      <c r="Q9" s="27"/>
      <c r="R9" s="27"/>
      <c r="S9" s="28"/>
    </row>
    <row r="10" s="2" customFormat="1" ht="28.5" spans="1:19">
      <c r="A10" s="21" t="s">
        <v>122</v>
      </c>
      <c r="B10" s="21" t="s">
        <v>25</v>
      </c>
      <c r="C10" s="21" t="s">
        <v>351</v>
      </c>
      <c r="D10" s="21" t="s">
        <v>352</v>
      </c>
      <c r="E10" s="21" t="s">
        <v>353</v>
      </c>
      <c r="F10" s="21">
        <v>1</v>
      </c>
      <c r="G10" s="21" t="s">
        <v>354</v>
      </c>
      <c r="H10" s="21"/>
      <c r="I10" s="21">
        <v>1</v>
      </c>
      <c r="J10" s="21" t="s">
        <v>170</v>
      </c>
      <c r="K10" s="29" t="s">
        <v>360</v>
      </c>
      <c r="L10" s="29" t="s">
        <v>360</v>
      </c>
      <c r="M10" s="89" t="s">
        <v>175</v>
      </c>
      <c r="N10" s="89" t="s">
        <v>356</v>
      </c>
      <c r="O10" s="24" t="s">
        <v>357</v>
      </c>
      <c r="P10" s="24" t="s">
        <v>358</v>
      </c>
      <c r="Q10" s="27"/>
      <c r="R10" s="27"/>
      <c r="S10" s="28"/>
    </row>
    <row r="11" s="2" customFormat="1" ht="40.5" spans="1:19">
      <c r="A11" s="21" t="s">
        <v>122</v>
      </c>
      <c r="B11" s="21" t="s">
        <v>25</v>
      </c>
      <c r="C11" s="21" t="s">
        <v>351</v>
      </c>
      <c r="D11" s="21" t="s">
        <v>352</v>
      </c>
      <c r="E11" s="21" t="s">
        <v>353</v>
      </c>
      <c r="F11" s="21">
        <v>1</v>
      </c>
      <c r="G11" s="21" t="s">
        <v>354</v>
      </c>
      <c r="H11" s="21"/>
      <c r="I11" s="21">
        <v>1</v>
      </c>
      <c r="J11" s="21" t="s">
        <v>170</v>
      </c>
      <c r="K11" s="29" t="s">
        <v>361</v>
      </c>
      <c r="L11" s="29" t="s">
        <v>361</v>
      </c>
      <c r="M11" s="89" t="s">
        <v>175</v>
      </c>
      <c r="N11" s="89" t="s">
        <v>356</v>
      </c>
      <c r="O11" s="24" t="s">
        <v>357</v>
      </c>
      <c r="P11" s="24" t="s">
        <v>358</v>
      </c>
      <c r="Q11" s="27"/>
      <c r="R11" s="27"/>
      <c r="S11" s="28"/>
    </row>
    <row r="12" s="2" customFormat="1" ht="54" spans="1:19">
      <c r="A12" s="47" t="s">
        <v>137</v>
      </c>
      <c r="B12" s="47" t="s">
        <v>101</v>
      </c>
      <c r="C12" s="47" t="s">
        <v>138</v>
      </c>
      <c r="D12" s="47" t="s">
        <v>139</v>
      </c>
      <c r="E12" s="47" t="s">
        <v>362</v>
      </c>
      <c r="F12" s="47">
        <v>8</v>
      </c>
      <c r="G12" s="47" t="s">
        <v>141</v>
      </c>
      <c r="H12" s="47">
        <v>31</v>
      </c>
      <c r="I12" s="47">
        <v>8</v>
      </c>
      <c r="J12" s="47" t="s">
        <v>30</v>
      </c>
      <c r="K12" s="90" t="s">
        <v>363</v>
      </c>
      <c r="L12" s="87" t="s">
        <v>364</v>
      </c>
      <c r="M12" s="28" t="s">
        <v>175</v>
      </c>
      <c r="N12" s="57" t="s">
        <v>175</v>
      </c>
      <c r="O12" s="31" t="s">
        <v>365</v>
      </c>
      <c r="P12" s="31"/>
      <c r="Q12" s="27"/>
      <c r="R12" s="27"/>
      <c r="S12" s="28"/>
    </row>
    <row r="13" s="2" customFormat="1" ht="40.5" spans="1:19">
      <c r="A13" s="47" t="s">
        <v>137</v>
      </c>
      <c r="B13" s="47" t="s">
        <v>101</v>
      </c>
      <c r="C13" s="47" t="s">
        <v>138</v>
      </c>
      <c r="D13" s="47" t="s">
        <v>139</v>
      </c>
      <c r="E13" s="47" t="s">
        <v>362</v>
      </c>
      <c r="F13" s="47">
        <v>8</v>
      </c>
      <c r="G13" s="47" t="s">
        <v>141</v>
      </c>
      <c r="H13" s="47">
        <v>31</v>
      </c>
      <c r="I13" s="47">
        <v>8</v>
      </c>
      <c r="J13" s="47" t="s">
        <v>30</v>
      </c>
      <c r="K13" s="87" t="s">
        <v>366</v>
      </c>
      <c r="L13" s="90" t="s">
        <v>367</v>
      </c>
      <c r="M13" s="28" t="s">
        <v>175</v>
      </c>
      <c r="N13" s="57" t="s">
        <v>175</v>
      </c>
      <c r="O13" s="31" t="s">
        <v>365</v>
      </c>
      <c r="P13" s="31"/>
      <c r="Q13" s="27"/>
      <c r="R13" s="27"/>
      <c r="S13" s="28"/>
    </row>
    <row r="14" ht="27" spans="1:19">
      <c r="A14" s="14" t="s">
        <v>47</v>
      </c>
      <c r="B14" s="14" t="s">
        <v>25</v>
      </c>
      <c r="C14" s="14" t="s">
        <v>48</v>
      </c>
      <c r="D14" s="84" t="s">
        <v>368</v>
      </c>
      <c r="E14" s="84" t="s">
        <v>369</v>
      </c>
      <c r="F14" s="84">
        <v>1</v>
      </c>
      <c r="G14" s="84">
        <v>2024.7</v>
      </c>
      <c r="H14" s="84">
        <v>19</v>
      </c>
      <c r="I14" s="84">
        <v>1</v>
      </c>
      <c r="J14" s="21" t="s">
        <v>52</v>
      </c>
      <c r="K14" s="22" t="s">
        <v>370</v>
      </c>
      <c r="L14" s="22" t="s">
        <v>371</v>
      </c>
      <c r="M14" s="31" t="s">
        <v>175</v>
      </c>
      <c r="N14" s="31" t="s">
        <v>175</v>
      </c>
      <c r="O14" s="24" t="s">
        <v>365</v>
      </c>
      <c r="P14" s="24" t="s">
        <v>372</v>
      </c>
      <c r="Q14" s="27"/>
      <c r="R14" s="27"/>
      <c r="S14" s="28"/>
    </row>
  </sheetData>
  <mergeCells count="1">
    <mergeCell ref="A1:S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7"/>
  <sheetViews>
    <sheetView workbookViewId="0">
      <pane xSplit="1" ySplit="2" topLeftCell="B3" activePane="bottomRight" state="frozen"/>
      <selection/>
      <selection pane="topRight"/>
      <selection pane="bottomLeft"/>
      <selection pane="bottomRight" activeCell="A1" sqref="A1:S1"/>
    </sheetView>
  </sheetViews>
  <sheetFormatPr defaultColWidth="11" defaultRowHeight="14.25"/>
  <cols>
    <col min="1" max="1" width="11" style="1"/>
    <col min="2" max="2" width="11" style="3"/>
    <col min="3" max="3" width="11" style="4"/>
    <col min="4" max="4" width="21.2166666666667" style="4" customWidth="1"/>
    <col min="5" max="5" width="14.1666666666667" style="3" customWidth="1"/>
    <col min="6" max="6" width="11" style="3"/>
    <col min="7" max="7" width="14.5" style="5"/>
    <col min="8" max="8" width="11.2083333333333" style="3"/>
    <col min="9" max="10" width="11" style="3"/>
    <col min="11" max="11" width="31.6416666666667" style="6" customWidth="1"/>
    <col min="12" max="12" width="40.6416666666667" style="6" customWidth="1"/>
    <col min="13" max="14" width="9.1" style="4"/>
    <col min="15" max="15" width="15" style="3" customWidth="1"/>
    <col min="16" max="16" width="10.6416666666667" style="3" customWidth="1"/>
    <col min="17" max="18" width="9.1" style="3"/>
    <col min="19" max="19" width="17.425" style="4" customWidth="1"/>
    <col min="20" max="16384" width="11" style="3"/>
  </cols>
  <sheetData>
    <row r="1" s="1" customFormat="1" ht="31.5" spans="1:19">
      <c r="A1" s="7" t="s">
        <v>350</v>
      </c>
      <c r="B1" s="8"/>
      <c r="C1" s="9"/>
      <c r="D1" s="9"/>
      <c r="E1" s="8"/>
      <c r="F1" s="8"/>
      <c r="G1" s="10"/>
      <c r="H1" s="8"/>
      <c r="I1" s="8"/>
      <c r="J1" s="8"/>
      <c r="K1" s="19"/>
      <c r="L1" s="19"/>
      <c r="M1" s="8"/>
      <c r="N1" s="8"/>
      <c r="O1" s="8"/>
      <c r="P1" s="8"/>
      <c r="Q1" s="8"/>
      <c r="R1" s="8"/>
      <c r="S1" s="26"/>
    </row>
    <row r="2" s="1" customFormat="1" ht="42.75" spans="1:19">
      <c r="A2" s="11" t="s">
        <v>1</v>
      </c>
      <c r="B2" s="12" t="s">
        <v>2</v>
      </c>
      <c r="C2" s="12" t="s">
        <v>3</v>
      </c>
      <c r="D2" s="13" t="s">
        <v>4</v>
      </c>
      <c r="E2" s="11" t="s">
        <v>5</v>
      </c>
      <c r="F2" s="12" t="s">
        <v>6</v>
      </c>
      <c r="G2" s="13" t="s">
        <v>11</v>
      </c>
      <c r="H2" s="12" t="s">
        <v>12</v>
      </c>
      <c r="I2" s="12" t="s">
        <v>13</v>
      </c>
      <c r="J2" s="12" t="s">
        <v>14</v>
      </c>
      <c r="K2" s="20" t="s">
        <v>15</v>
      </c>
      <c r="L2" s="20" t="s">
        <v>16</v>
      </c>
      <c r="M2" s="20" t="s">
        <v>17</v>
      </c>
      <c r="N2" s="20" t="s">
        <v>18</v>
      </c>
      <c r="O2" s="20" t="s">
        <v>19</v>
      </c>
      <c r="P2" s="20" t="s">
        <v>20</v>
      </c>
      <c r="Q2" s="20" t="s">
        <v>21</v>
      </c>
      <c r="R2" s="20" t="s">
        <v>22</v>
      </c>
      <c r="S2" s="20" t="s">
        <v>23</v>
      </c>
    </row>
    <row r="3" s="1" customFormat="1" ht="25.5" spans="1:19">
      <c r="A3" s="38" t="s">
        <v>47</v>
      </c>
      <c r="B3" s="39" t="s">
        <v>25</v>
      </c>
      <c r="C3" s="39" t="s">
        <v>48</v>
      </c>
      <c r="D3" s="29"/>
      <c r="E3" s="29"/>
      <c r="F3" s="29"/>
      <c r="G3" s="29"/>
      <c r="H3" s="29"/>
      <c r="I3" s="29"/>
      <c r="J3" s="47" t="s">
        <v>52</v>
      </c>
      <c r="K3" s="58" t="s">
        <v>59</v>
      </c>
      <c r="L3" s="58" t="s">
        <v>60</v>
      </c>
      <c r="M3" s="57" t="s">
        <v>61</v>
      </c>
      <c r="N3" s="57" t="s">
        <v>62</v>
      </c>
      <c r="O3" s="24" t="s">
        <v>57</v>
      </c>
      <c r="P3" s="59" t="s">
        <v>58</v>
      </c>
      <c r="Q3" s="57"/>
      <c r="R3" s="57"/>
      <c r="S3" s="57"/>
    </row>
    <row r="4" s="1" customFormat="1" ht="27" spans="1:19">
      <c r="A4" s="50" t="s">
        <v>137</v>
      </c>
      <c r="B4" s="50" t="s">
        <v>101</v>
      </c>
      <c r="C4" s="50" t="s">
        <v>138</v>
      </c>
      <c r="D4" s="50" t="s">
        <v>139</v>
      </c>
      <c r="E4" s="50" t="s">
        <v>362</v>
      </c>
      <c r="F4" s="50">
        <v>8</v>
      </c>
      <c r="G4" s="50" t="s">
        <v>141</v>
      </c>
      <c r="H4" s="50">
        <v>31</v>
      </c>
      <c r="I4" s="50">
        <v>8</v>
      </c>
      <c r="J4" s="68" t="s">
        <v>30</v>
      </c>
      <c r="K4" s="69" t="s">
        <v>143</v>
      </c>
      <c r="L4" s="69" t="s">
        <v>147</v>
      </c>
      <c r="M4" s="29" t="s">
        <v>148</v>
      </c>
      <c r="N4" s="57" t="s">
        <v>149</v>
      </c>
      <c r="O4" s="51" t="s">
        <v>57</v>
      </c>
      <c r="P4" s="51" t="s">
        <v>146</v>
      </c>
      <c r="Q4" s="74"/>
      <c r="R4" s="74"/>
      <c r="S4" s="29"/>
    </row>
    <row r="5" s="1" customFormat="1" ht="40.5" spans="1:19">
      <c r="A5" s="50" t="s">
        <v>137</v>
      </c>
      <c r="B5" s="50" t="s">
        <v>101</v>
      </c>
      <c r="C5" s="50" t="s">
        <v>138</v>
      </c>
      <c r="D5" s="50" t="s">
        <v>139</v>
      </c>
      <c r="E5" s="50" t="s">
        <v>362</v>
      </c>
      <c r="F5" s="50">
        <v>8</v>
      </c>
      <c r="G5" s="50" t="s">
        <v>141</v>
      </c>
      <c r="H5" s="50">
        <v>31</v>
      </c>
      <c r="I5" s="50">
        <v>8</v>
      </c>
      <c r="J5" s="68" t="s">
        <v>30</v>
      </c>
      <c r="K5" s="69" t="s">
        <v>150</v>
      </c>
      <c r="L5" s="69" t="s">
        <v>151</v>
      </c>
      <c r="M5" s="29" t="s">
        <v>148</v>
      </c>
      <c r="N5" s="57" t="s">
        <v>149</v>
      </c>
      <c r="O5" s="51" t="s">
        <v>57</v>
      </c>
      <c r="P5" s="51" t="s">
        <v>146</v>
      </c>
      <c r="Q5" s="74"/>
      <c r="R5" s="74"/>
      <c r="S5" s="29"/>
    </row>
    <row r="6" s="1" customFormat="1" ht="40.5" spans="1:19">
      <c r="A6" s="50" t="s">
        <v>137</v>
      </c>
      <c r="B6" s="50" t="s">
        <v>101</v>
      </c>
      <c r="C6" s="50" t="s">
        <v>138</v>
      </c>
      <c r="D6" s="50" t="s">
        <v>139</v>
      </c>
      <c r="E6" s="50" t="s">
        <v>362</v>
      </c>
      <c r="F6" s="50">
        <v>8</v>
      </c>
      <c r="G6" s="50" t="s">
        <v>141</v>
      </c>
      <c r="H6" s="50">
        <v>31</v>
      </c>
      <c r="I6" s="50">
        <v>8</v>
      </c>
      <c r="J6" s="68" t="s">
        <v>30</v>
      </c>
      <c r="K6" s="69" t="s">
        <v>150</v>
      </c>
      <c r="L6" s="69" t="s">
        <v>152</v>
      </c>
      <c r="M6" s="29" t="s">
        <v>148</v>
      </c>
      <c r="N6" s="57" t="s">
        <v>149</v>
      </c>
      <c r="O6" s="51" t="s">
        <v>57</v>
      </c>
      <c r="P6" s="51" t="s">
        <v>146</v>
      </c>
      <c r="Q6" s="74"/>
      <c r="R6" s="74"/>
      <c r="S6" s="29"/>
    </row>
    <row r="7" s="1" customFormat="1" ht="27" spans="1:19">
      <c r="A7" s="50" t="s">
        <v>137</v>
      </c>
      <c r="B7" s="50" t="s">
        <v>101</v>
      </c>
      <c r="C7" s="50" t="s">
        <v>138</v>
      </c>
      <c r="D7" s="50" t="s">
        <v>139</v>
      </c>
      <c r="E7" s="50" t="s">
        <v>362</v>
      </c>
      <c r="F7" s="50">
        <v>8</v>
      </c>
      <c r="G7" s="50" t="s">
        <v>141</v>
      </c>
      <c r="H7" s="50">
        <v>31</v>
      </c>
      <c r="I7" s="50">
        <v>8</v>
      </c>
      <c r="J7" s="68" t="s">
        <v>30</v>
      </c>
      <c r="K7" s="69" t="s">
        <v>151</v>
      </c>
      <c r="L7" s="69" t="s">
        <v>153</v>
      </c>
      <c r="M7" s="29" t="s">
        <v>148</v>
      </c>
      <c r="N7" s="57" t="s">
        <v>149</v>
      </c>
      <c r="O7" s="51" t="s">
        <v>57</v>
      </c>
      <c r="P7" s="51" t="s">
        <v>146</v>
      </c>
      <c r="Q7" s="74"/>
      <c r="R7" s="74"/>
      <c r="S7" s="29"/>
    </row>
    <row r="8" s="1" customFormat="1" ht="27" spans="1:19">
      <c r="A8" s="50" t="s">
        <v>137</v>
      </c>
      <c r="B8" s="50" t="s">
        <v>101</v>
      </c>
      <c r="C8" s="50" t="s">
        <v>138</v>
      </c>
      <c r="D8" s="50" t="s">
        <v>139</v>
      </c>
      <c r="E8" s="50" t="s">
        <v>362</v>
      </c>
      <c r="F8" s="50">
        <v>8</v>
      </c>
      <c r="G8" s="50" t="s">
        <v>141</v>
      </c>
      <c r="H8" s="50">
        <v>31</v>
      </c>
      <c r="I8" s="50">
        <v>8</v>
      </c>
      <c r="J8" s="68" t="s">
        <v>30</v>
      </c>
      <c r="K8" s="69" t="s">
        <v>154</v>
      </c>
      <c r="L8" s="69" t="s">
        <v>155</v>
      </c>
      <c r="M8" s="29" t="s">
        <v>148</v>
      </c>
      <c r="N8" s="57" t="s">
        <v>149</v>
      </c>
      <c r="O8" s="51" t="s">
        <v>57</v>
      </c>
      <c r="P8" s="51" t="s">
        <v>146</v>
      </c>
      <c r="Q8" s="74"/>
      <c r="R8" s="74"/>
      <c r="S8" s="29"/>
    </row>
    <row r="9" s="1" customFormat="1" ht="27" spans="1:19">
      <c r="A9" s="50" t="s">
        <v>137</v>
      </c>
      <c r="B9" s="50" t="s">
        <v>101</v>
      </c>
      <c r="C9" s="50" t="s">
        <v>138</v>
      </c>
      <c r="D9" s="50" t="s">
        <v>139</v>
      </c>
      <c r="E9" s="50" t="s">
        <v>362</v>
      </c>
      <c r="F9" s="50">
        <v>8</v>
      </c>
      <c r="G9" s="50" t="s">
        <v>141</v>
      </c>
      <c r="H9" s="50">
        <v>31</v>
      </c>
      <c r="I9" s="50">
        <v>8</v>
      </c>
      <c r="J9" s="68" t="s">
        <v>30</v>
      </c>
      <c r="K9" s="69" t="s">
        <v>157</v>
      </c>
      <c r="L9" s="69" t="s">
        <v>158</v>
      </c>
      <c r="M9" s="29" t="s">
        <v>148</v>
      </c>
      <c r="N9" s="57" t="s">
        <v>149</v>
      </c>
      <c r="O9" s="51" t="s">
        <v>57</v>
      </c>
      <c r="P9" s="51" t="s">
        <v>146</v>
      </c>
      <c r="Q9" s="74"/>
      <c r="R9" s="74"/>
      <c r="S9" s="29"/>
    </row>
    <row r="10" s="1" customFormat="1" ht="27" spans="1:19">
      <c r="A10" s="50" t="s">
        <v>137</v>
      </c>
      <c r="B10" s="50" t="s">
        <v>101</v>
      </c>
      <c r="C10" s="50" t="s">
        <v>138</v>
      </c>
      <c r="D10" s="50" t="s">
        <v>139</v>
      </c>
      <c r="E10" s="50" t="s">
        <v>362</v>
      </c>
      <c r="F10" s="50">
        <v>8</v>
      </c>
      <c r="G10" s="50" t="s">
        <v>141</v>
      </c>
      <c r="H10" s="50">
        <v>31</v>
      </c>
      <c r="I10" s="50">
        <v>8</v>
      </c>
      <c r="J10" s="68" t="s">
        <v>30</v>
      </c>
      <c r="K10" s="69" t="s">
        <v>157</v>
      </c>
      <c r="L10" s="69" t="s">
        <v>159</v>
      </c>
      <c r="M10" s="29" t="s">
        <v>148</v>
      </c>
      <c r="N10" s="57" t="s">
        <v>149</v>
      </c>
      <c r="O10" s="51" t="s">
        <v>57</v>
      </c>
      <c r="P10" s="51" t="s">
        <v>146</v>
      </c>
      <c r="Q10" s="74"/>
      <c r="R10" s="74"/>
      <c r="S10" s="29"/>
    </row>
    <row r="11" s="1" customFormat="1" ht="27" spans="1:19">
      <c r="A11" s="50" t="s">
        <v>137</v>
      </c>
      <c r="B11" s="50" t="s">
        <v>101</v>
      </c>
      <c r="C11" s="50" t="s">
        <v>138</v>
      </c>
      <c r="D11" s="50" t="s">
        <v>139</v>
      </c>
      <c r="E11" s="50" t="s">
        <v>362</v>
      </c>
      <c r="F11" s="50">
        <v>8</v>
      </c>
      <c r="G11" s="50" t="s">
        <v>141</v>
      </c>
      <c r="H11" s="50">
        <v>31</v>
      </c>
      <c r="I11" s="50">
        <v>8</v>
      </c>
      <c r="J11" s="68" t="s">
        <v>30</v>
      </c>
      <c r="K11" s="69" t="s">
        <v>162</v>
      </c>
      <c r="L11" s="69" t="s">
        <v>165</v>
      </c>
      <c r="M11" s="29" t="s">
        <v>148</v>
      </c>
      <c r="N11" s="57" t="s">
        <v>149</v>
      </c>
      <c r="O11" s="51" t="s">
        <v>57</v>
      </c>
      <c r="P11" s="51" t="s">
        <v>146</v>
      </c>
      <c r="Q11" s="74"/>
      <c r="R11" s="74"/>
      <c r="S11" s="29"/>
    </row>
    <row r="12" s="1" customFormat="1" ht="54" spans="1:19">
      <c r="A12" s="49" t="s">
        <v>166</v>
      </c>
      <c r="B12" s="50" t="s">
        <v>101</v>
      </c>
      <c r="C12" s="50" t="s">
        <v>167</v>
      </c>
      <c r="D12" s="50" t="s">
        <v>168</v>
      </c>
      <c r="E12" s="50" t="s">
        <v>169</v>
      </c>
      <c r="F12" s="50">
        <v>2</v>
      </c>
      <c r="G12" s="41" t="s">
        <v>39</v>
      </c>
      <c r="H12" s="50">
        <v>5</v>
      </c>
      <c r="I12" s="50">
        <v>2</v>
      </c>
      <c r="J12" s="49" t="s">
        <v>170</v>
      </c>
      <c r="K12" s="70" t="s">
        <v>171</v>
      </c>
      <c r="L12" s="69" t="s">
        <v>172</v>
      </c>
      <c r="M12" s="29" t="s">
        <v>148</v>
      </c>
      <c r="N12" s="57" t="s">
        <v>149</v>
      </c>
      <c r="O12" s="71" t="s">
        <v>57</v>
      </c>
      <c r="P12" s="72" t="s">
        <v>146</v>
      </c>
      <c r="Q12" s="74"/>
      <c r="R12" s="74"/>
      <c r="S12" s="29"/>
    </row>
    <row r="13" s="1" customFormat="1" ht="40.5" spans="1:19">
      <c r="A13" s="49" t="s">
        <v>166</v>
      </c>
      <c r="B13" s="42" t="s">
        <v>25</v>
      </c>
      <c r="C13" s="42" t="s">
        <v>167</v>
      </c>
      <c r="D13" s="42" t="s">
        <v>185</v>
      </c>
      <c r="E13" s="53" t="s">
        <v>186</v>
      </c>
      <c r="F13" s="54">
        <v>1</v>
      </c>
      <c r="G13" s="55" t="s">
        <v>39</v>
      </c>
      <c r="H13" s="54">
        <v>27</v>
      </c>
      <c r="I13" s="50">
        <v>1</v>
      </c>
      <c r="J13" s="49" t="s">
        <v>170</v>
      </c>
      <c r="K13" s="69" t="s">
        <v>187</v>
      </c>
      <c r="L13" s="69" t="s">
        <v>188</v>
      </c>
      <c r="M13" s="29" t="s">
        <v>61</v>
      </c>
      <c r="N13" s="29" t="s">
        <v>62</v>
      </c>
      <c r="O13" s="71" t="s">
        <v>57</v>
      </c>
      <c r="P13" s="72" t="s">
        <v>146</v>
      </c>
      <c r="Q13" s="74"/>
      <c r="R13" s="74"/>
      <c r="S13" s="29"/>
    </row>
    <row r="14" s="1" customFormat="1" ht="27" spans="1:19">
      <c r="A14" s="51" t="s">
        <v>217</v>
      </c>
      <c r="B14" s="47" t="s">
        <v>101</v>
      </c>
      <c r="C14" s="47" t="s">
        <v>218</v>
      </c>
      <c r="D14" s="50" t="s">
        <v>219</v>
      </c>
      <c r="E14" s="50" t="s">
        <v>220</v>
      </c>
      <c r="F14" s="50">
        <v>60</v>
      </c>
      <c r="G14" s="50">
        <v>2024.3</v>
      </c>
      <c r="H14" s="50">
        <v>4</v>
      </c>
      <c r="I14" s="50">
        <v>60</v>
      </c>
      <c r="J14" s="47" t="s">
        <v>30</v>
      </c>
      <c r="K14" s="65" t="s">
        <v>226</v>
      </c>
      <c r="L14" s="65" t="s">
        <v>227</v>
      </c>
      <c r="M14" s="29" t="s">
        <v>148</v>
      </c>
      <c r="N14" s="29" t="s">
        <v>228</v>
      </c>
      <c r="O14" s="50" t="s">
        <v>57</v>
      </c>
      <c r="P14" s="51" t="s">
        <v>58</v>
      </c>
      <c r="Q14" s="74"/>
      <c r="R14" s="74"/>
      <c r="S14" s="29"/>
    </row>
    <row r="15" s="1" customFormat="1" ht="27" spans="1:19">
      <c r="A15" s="51" t="s">
        <v>217</v>
      </c>
      <c r="B15" s="47" t="s">
        <v>101</v>
      </c>
      <c r="C15" s="47" t="s">
        <v>218</v>
      </c>
      <c r="D15" s="50" t="s">
        <v>219</v>
      </c>
      <c r="E15" s="50" t="s">
        <v>220</v>
      </c>
      <c r="F15" s="50">
        <v>60</v>
      </c>
      <c r="G15" s="50">
        <v>2024.3</v>
      </c>
      <c r="H15" s="50">
        <v>4</v>
      </c>
      <c r="I15" s="50">
        <v>60</v>
      </c>
      <c r="J15" s="47" t="s">
        <v>30</v>
      </c>
      <c r="K15" s="65" t="s">
        <v>231</v>
      </c>
      <c r="L15" s="65" t="s">
        <v>232</v>
      </c>
      <c r="M15" s="29" t="s">
        <v>148</v>
      </c>
      <c r="N15" s="29" t="s">
        <v>228</v>
      </c>
      <c r="O15" s="50" t="s">
        <v>57</v>
      </c>
      <c r="P15" s="51" t="s">
        <v>58</v>
      </c>
      <c r="Q15" s="74"/>
      <c r="R15" s="74"/>
      <c r="S15" s="29"/>
    </row>
    <row r="16" s="1" customFormat="1" ht="27" spans="1:19">
      <c r="A16" s="51" t="s">
        <v>217</v>
      </c>
      <c r="B16" s="47" t="s">
        <v>101</v>
      </c>
      <c r="C16" s="47" t="s">
        <v>218</v>
      </c>
      <c r="D16" s="50" t="s">
        <v>219</v>
      </c>
      <c r="E16" s="50" t="s">
        <v>220</v>
      </c>
      <c r="F16" s="50">
        <v>60</v>
      </c>
      <c r="G16" s="50">
        <v>2024.3</v>
      </c>
      <c r="H16" s="50">
        <v>4</v>
      </c>
      <c r="I16" s="50">
        <v>60</v>
      </c>
      <c r="J16" s="47" t="s">
        <v>30</v>
      </c>
      <c r="K16" s="69" t="s">
        <v>233</v>
      </c>
      <c r="L16" s="69" t="s">
        <v>234</v>
      </c>
      <c r="M16" s="29" t="s">
        <v>148</v>
      </c>
      <c r="N16" s="29" t="s">
        <v>228</v>
      </c>
      <c r="O16" s="50" t="s">
        <v>57</v>
      </c>
      <c r="P16" s="51" t="s">
        <v>58</v>
      </c>
      <c r="Q16" s="74"/>
      <c r="R16" s="74"/>
      <c r="S16" s="29"/>
    </row>
    <row r="17" s="1" customFormat="1" ht="27" spans="1:19">
      <c r="A17" s="51" t="s">
        <v>217</v>
      </c>
      <c r="B17" s="47" t="s">
        <v>101</v>
      </c>
      <c r="C17" s="47" t="s">
        <v>218</v>
      </c>
      <c r="D17" s="47" t="s">
        <v>238</v>
      </c>
      <c r="E17" s="47" t="s">
        <v>239</v>
      </c>
      <c r="F17" s="47">
        <v>1</v>
      </c>
      <c r="G17" s="47">
        <v>2024.1</v>
      </c>
      <c r="H17" s="47">
        <v>25</v>
      </c>
      <c r="I17" s="47">
        <v>1</v>
      </c>
      <c r="J17" s="47" t="s">
        <v>30</v>
      </c>
      <c r="K17" s="73" t="s">
        <v>240</v>
      </c>
      <c r="L17" s="56" t="s">
        <v>241</v>
      </c>
      <c r="M17" s="29" t="s">
        <v>148</v>
      </c>
      <c r="N17" s="29" t="s">
        <v>228</v>
      </c>
      <c r="O17" s="50" t="s">
        <v>57</v>
      </c>
      <c r="P17" s="51" t="s">
        <v>58</v>
      </c>
      <c r="Q17" s="74"/>
      <c r="R17" s="74"/>
      <c r="S17" s="29"/>
    </row>
    <row r="18" s="1" customFormat="1" ht="27" spans="1:19">
      <c r="A18" s="51" t="s">
        <v>217</v>
      </c>
      <c r="B18" s="47" t="s">
        <v>101</v>
      </c>
      <c r="C18" s="47" t="s">
        <v>218</v>
      </c>
      <c r="D18" s="47" t="s">
        <v>238</v>
      </c>
      <c r="E18" s="47" t="s">
        <v>239</v>
      </c>
      <c r="F18" s="47">
        <v>1</v>
      </c>
      <c r="G18" s="47">
        <v>2024.1</v>
      </c>
      <c r="H18" s="47">
        <v>25</v>
      </c>
      <c r="I18" s="47">
        <v>1</v>
      </c>
      <c r="J18" s="47" t="s">
        <v>30</v>
      </c>
      <c r="K18" s="65" t="s">
        <v>244</v>
      </c>
      <c r="L18" s="65" t="s">
        <v>245</v>
      </c>
      <c r="M18" s="29" t="s">
        <v>148</v>
      </c>
      <c r="N18" s="29" t="s">
        <v>228</v>
      </c>
      <c r="O18" s="50" t="s">
        <v>57</v>
      </c>
      <c r="P18" s="51" t="s">
        <v>58</v>
      </c>
      <c r="Q18" s="74"/>
      <c r="R18" s="74"/>
      <c r="S18" s="29"/>
    </row>
    <row r="19" s="16" customFormat="1" ht="27" spans="1:19">
      <c r="A19" s="78" t="s">
        <v>287</v>
      </c>
      <c r="B19" s="47" t="s">
        <v>101</v>
      </c>
      <c r="C19" s="47" t="s">
        <v>288</v>
      </c>
      <c r="D19" s="47" t="s">
        <v>289</v>
      </c>
      <c r="E19" s="47" t="s">
        <v>290</v>
      </c>
      <c r="F19" s="47">
        <v>1</v>
      </c>
      <c r="G19" s="47">
        <v>2024.11</v>
      </c>
      <c r="H19" s="47">
        <v>18</v>
      </c>
      <c r="I19" s="47">
        <v>1</v>
      </c>
      <c r="J19" s="47" t="s">
        <v>170</v>
      </c>
      <c r="K19" s="40" t="s">
        <v>297</v>
      </c>
      <c r="L19" s="29" t="s">
        <v>298</v>
      </c>
      <c r="M19" s="29" t="s">
        <v>148</v>
      </c>
      <c r="N19" s="29" t="s">
        <v>149</v>
      </c>
      <c r="O19" s="81" t="s">
        <v>57</v>
      </c>
      <c r="P19" s="81" t="s">
        <v>146</v>
      </c>
      <c r="Q19" s="74"/>
      <c r="R19" s="74"/>
      <c r="S19" s="29"/>
    </row>
    <row r="20" s="33" customFormat="1" ht="28.5" spans="1:19">
      <c r="A20" s="78" t="s">
        <v>287</v>
      </c>
      <c r="B20" s="47" t="s">
        <v>101</v>
      </c>
      <c r="C20" s="47" t="s">
        <v>288</v>
      </c>
      <c r="D20" s="47" t="s">
        <v>289</v>
      </c>
      <c r="E20" s="47" t="s">
        <v>290</v>
      </c>
      <c r="F20" s="47">
        <v>1</v>
      </c>
      <c r="G20" s="47">
        <v>2024.11</v>
      </c>
      <c r="H20" s="47">
        <v>18</v>
      </c>
      <c r="I20" s="47">
        <v>1</v>
      </c>
      <c r="J20" s="47" t="s">
        <v>170</v>
      </c>
      <c r="K20" s="40" t="s">
        <v>299</v>
      </c>
      <c r="L20" s="29" t="s">
        <v>300</v>
      </c>
      <c r="M20" s="29" t="s">
        <v>148</v>
      </c>
      <c r="N20" s="29" t="s">
        <v>149</v>
      </c>
      <c r="O20" s="81" t="s">
        <v>57</v>
      </c>
      <c r="P20" s="81" t="s">
        <v>146</v>
      </c>
      <c r="Q20" s="82"/>
      <c r="R20" s="82"/>
      <c r="S20" s="83"/>
    </row>
    <row r="21" s="33" customFormat="1" ht="27" spans="1:19">
      <c r="A21" s="78" t="s">
        <v>287</v>
      </c>
      <c r="B21" s="47" t="s">
        <v>101</v>
      </c>
      <c r="C21" s="47" t="s">
        <v>288</v>
      </c>
      <c r="D21" s="47" t="s">
        <v>289</v>
      </c>
      <c r="E21" s="47" t="s">
        <v>290</v>
      </c>
      <c r="F21" s="47">
        <v>1</v>
      </c>
      <c r="G21" s="47">
        <v>2024.11</v>
      </c>
      <c r="H21" s="47">
        <v>18</v>
      </c>
      <c r="I21" s="47">
        <v>1</v>
      </c>
      <c r="J21" s="47" t="s">
        <v>170</v>
      </c>
      <c r="K21" s="40" t="s">
        <v>301</v>
      </c>
      <c r="L21" s="29" t="s">
        <v>302</v>
      </c>
      <c r="M21" s="29" t="s">
        <v>148</v>
      </c>
      <c r="N21" s="29" t="s">
        <v>149</v>
      </c>
      <c r="O21" s="81" t="s">
        <v>57</v>
      </c>
      <c r="P21" s="81" t="s">
        <v>146</v>
      </c>
      <c r="Q21" s="82"/>
      <c r="R21" s="82"/>
      <c r="S21" s="83"/>
    </row>
    <row r="22" s="33" customFormat="1" ht="28.5" spans="1:19">
      <c r="A22" s="78" t="s">
        <v>287</v>
      </c>
      <c r="B22" s="47" t="s">
        <v>101</v>
      </c>
      <c r="C22" s="47" t="s">
        <v>288</v>
      </c>
      <c r="D22" s="47" t="s">
        <v>289</v>
      </c>
      <c r="E22" s="47" t="s">
        <v>290</v>
      </c>
      <c r="F22" s="47">
        <v>1</v>
      </c>
      <c r="G22" s="47">
        <v>2024.11</v>
      </c>
      <c r="H22" s="47">
        <v>18</v>
      </c>
      <c r="I22" s="47">
        <v>1</v>
      </c>
      <c r="J22" s="47" t="s">
        <v>170</v>
      </c>
      <c r="K22" s="40" t="s">
        <v>303</v>
      </c>
      <c r="L22" s="29" t="s">
        <v>304</v>
      </c>
      <c r="M22" s="29" t="s">
        <v>148</v>
      </c>
      <c r="N22" s="29" t="s">
        <v>149</v>
      </c>
      <c r="O22" s="81" t="s">
        <v>57</v>
      </c>
      <c r="P22" s="81" t="s">
        <v>146</v>
      </c>
      <c r="Q22" s="82"/>
      <c r="R22" s="82"/>
      <c r="S22" s="83"/>
    </row>
    <row r="23" s="33" customFormat="1" ht="27" spans="1:19">
      <c r="A23" s="78" t="s">
        <v>287</v>
      </c>
      <c r="B23" s="47" t="s">
        <v>101</v>
      </c>
      <c r="C23" s="47" t="s">
        <v>288</v>
      </c>
      <c r="D23" s="47" t="s">
        <v>289</v>
      </c>
      <c r="E23" s="47" t="s">
        <v>290</v>
      </c>
      <c r="F23" s="47">
        <v>1</v>
      </c>
      <c r="G23" s="47">
        <v>2024.11</v>
      </c>
      <c r="H23" s="47">
        <v>18</v>
      </c>
      <c r="I23" s="47">
        <v>1</v>
      </c>
      <c r="J23" s="47" t="s">
        <v>170</v>
      </c>
      <c r="K23" s="40" t="s">
        <v>305</v>
      </c>
      <c r="L23" s="29" t="s">
        <v>306</v>
      </c>
      <c r="M23" s="29" t="s">
        <v>148</v>
      </c>
      <c r="N23" s="29" t="s">
        <v>149</v>
      </c>
      <c r="O23" s="81" t="s">
        <v>57</v>
      </c>
      <c r="P23" s="81" t="s">
        <v>146</v>
      </c>
      <c r="Q23" s="82"/>
      <c r="R23" s="82"/>
      <c r="S23" s="83"/>
    </row>
    <row r="24" s="33" customFormat="1" ht="27" spans="1:19">
      <c r="A24" s="78" t="s">
        <v>287</v>
      </c>
      <c r="B24" s="47" t="s">
        <v>101</v>
      </c>
      <c r="C24" s="47" t="s">
        <v>288</v>
      </c>
      <c r="D24" s="47" t="s">
        <v>289</v>
      </c>
      <c r="E24" s="47" t="s">
        <v>290</v>
      </c>
      <c r="F24" s="47">
        <v>1</v>
      </c>
      <c r="G24" s="47">
        <v>2024.11</v>
      </c>
      <c r="H24" s="47">
        <v>18</v>
      </c>
      <c r="I24" s="47">
        <v>1</v>
      </c>
      <c r="J24" s="47" t="s">
        <v>170</v>
      </c>
      <c r="K24" s="40" t="s">
        <v>307</v>
      </c>
      <c r="L24" s="29" t="s">
        <v>308</v>
      </c>
      <c r="M24" s="29" t="s">
        <v>148</v>
      </c>
      <c r="N24" s="29" t="s">
        <v>149</v>
      </c>
      <c r="O24" s="81" t="s">
        <v>57</v>
      </c>
      <c r="P24" s="81" t="s">
        <v>146</v>
      </c>
      <c r="Q24" s="82"/>
      <c r="R24" s="82"/>
      <c r="S24" s="83"/>
    </row>
    <row r="25" s="2" customFormat="1" ht="28.5" spans="1:19">
      <c r="A25" s="78" t="s">
        <v>287</v>
      </c>
      <c r="B25" s="47" t="s">
        <v>101</v>
      </c>
      <c r="C25" s="47" t="s">
        <v>288</v>
      </c>
      <c r="D25" s="47" t="s">
        <v>289</v>
      </c>
      <c r="E25" s="47" t="s">
        <v>290</v>
      </c>
      <c r="F25" s="47">
        <v>1</v>
      </c>
      <c r="G25" s="47">
        <v>2024.11</v>
      </c>
      <c r="H25" s="47">
        <v>18</v>
      </c>
      <c r="I25" s="47">
        <v>1</v>
      </c>
      <c r="J25" s="47" t="s">
        <v>170</v>
      </c>
      <c r="K25" s="40" t="s">
        <v>309</v>
      </c>
      <c r="L25" s="29" t="s">
        <v>310</v>
      </c>
      <c r="M25" s="29" t="s">
        <v>148</v>
      </c>
      <c r="N25" s="29" t="s">
        <v>149</v>
      </c>
      <c r="O25" s="81" t="s">
        <v>57</v>
      </c>
      <c r="P25" s="81" t="s">
        <v>146</v>
      </c>
      <c r="Q25" s="32"/>
      <c r="R25" s="32"/>
      <c r="S25" s="40"/>
    </row>
    <row r="26" s="2" customFormat="1" ht="28.5" spans="1:19">
      <c r="A26" s="78" t="s">
        <v>287</v>
      </c>
      <c r="B26" s="47" t="s">
        <v>101</v>
      </c>
      <c r="C26" s="47" t="s">
        <v>288</v>
      </c>
      <c r="D26" s="47" t="s">
        <v>289</v>
      </c>
      <c r="E26" s="47" t="s">
        <v>290</v>
      </c>
      <c r="F26" s="47">
        <v>1</v>
      </c>
      <c r="G26" s="47">
        <v>2024.11</v>
      </c>
      <c r="H26" s="47">
        <v>18</v>
      </c>
      <c r="I26" s="47">
        <v>1</v>
      </c>
      <c r="J26" s="47" t="s">
        <v>170</v>
      </c>
      <c r="K26" s="40" t="s">
        <v>311</v>
      </c>
      <c r="L26" s="29" t="s">
        <v>312</v>
      </c>
      <c r="M26" s="29" t="s">
        <v>148</v>
      </c>
      <c r="N26" s="29" t="s">
        <v>149</v>
      </c>
      <c r="O26" s="81" t="s">
        <v>57</v>
      </c>
      <c r="P26" s="81" t="s">
        <v>146</v>
      </c>
      <c r="Q26" s="32"/>
      <c r="R26" s="32"/>
      <c r="S26" s="40"/>
    </row>
    <row r="27" s="2" customFormat="1" ht="27" spans="1:19">
      <c r="A27" s="78" t="s">
        <v>287</v>
      </c>
      <c r="B27" s="47" t="s">
        <v>101</v>
      </c>
      <c r="C27" s="47" t="s">
        <v>288</v>
      </c>
      <c r="D27" s="47" t="s">
        <v>289</v>
      </c>
      <c r="E27" s="47" t="s">
        <v>290</v>
      </c>
      <c r="F27" s="47">
        <v>1</v>
      </c>
      <c r="G27" s="47">
        <v>2024.11</v>
      </c>
      <c r="H27" s="47">
        <v>18</v>
      </c>
      <c r="I27" s="47">
        <v>1</v>
      </c>
      <c r="J27" s="47" t="s">
        <v>170</v>
      </c>
      <c r="K27" s="40" t="s">
        <v>313</v>
      </c>
      <c r="L27" s="29" t="s">
        <v>314</v>
      </c>
      <c r="M27" s="29" t="s">
        <v>148</v>
      </c>
      <c r="N27" s="29" t="s">
        <v>149</v>
      </c>
      <c r="O27" s="81" t="s">
        <v>57</v>
      </c>
      <c r="P27" s="81" t="s">
        <v>146</v>
      </c>
      <c r="Q27" s="32"/>
      <c r="R27" s="32"/>
      <c r="S27" s="40"/>
    </row>
    <row r="28" s="2" customFormat="1" ht="27" spans="1:19">
      <c r="A28" s="78" t="s">
        <v>287</v>
      </c>
      <c r="B28" s="47" t="s">
        <v>101</v>
      </c>
      <c r="C28" s="47" t="s">
        <v>288</v>
      </c>
      <c r="D28" s="47" t="s">
        <v>289</v>
      </c>
      <c r="E28" s="47" t="s">
        <v>290</v>
      </c>
      <c r="F28" s="47">
        <v>1</v>
      </c>
      <c r="G28" s="47">
        <v>2024.11</v>
      </c>
      <c r="H28" s="47">
        <v>18</v>
      </c>
      <c r="I28" s="47">
        <v>1</v>
      </c>
      <c r="J28" s="47" t="s">
        <v>170</v>
      </c>
      <c r="K28" s="40" t="s">
        <v>317</v>
      </c>
      <c r="L28" s="29" t="s">
        <v>318</v>
      </c>
      <c r="M28" s="29" t="s">
        <v>148</v>
      </c>
      <c r="N28" s="29" t="s">
        <v>149</v>
      </c>
      <c r="O28" s="81" t="s">
        <v>57</v>
      </c>
      <c r="P28" s="81" t="s">
        <v>146</v>
      </c>
      <c r="Q28" s="32"/>
      <c r="R28" s="32"/>
      <c r="S28" s="40"/>
    </row>
    <row r="29" s="2" customFormat="1" ht="27" spans="1:19">
      <c r="A29" s="78" t="s">
        <v>287</v>
      </c>
      <c r="B29" s="47" t="s">
        <v>101</v>
      </c>
      <c r="C29" s="47" t="s">
        <v>288</v>
      </c>
      <c r="D29" s="47" t="s">
        <v>289</v>
      </c>
      <c r="E29" s="47" t="s">
        <v>290</v>
      </c>
      <c r="F29" s="47">
        <v>1</v>
      </c>
      <c r="G29" s="47">
        <v>2024.11</v>
      </c>
      <c r="H29" s="47">
        <v>18</v>
      </c>
      <c r="I29" s="47">
        <v>1</v>
      </c>
      <c r="J29" s="47" t="s">
        <v>170</v>
      </c>
      <c r="K29" s="40" t="s">
        <v>319</v>
      </c>
      <c r="L29" s="29" t="s">
        <v>320</v>
      </c>
      <c r="M29" s="29" t="s">
        <v>148</v>
      </c>
      <c r="N29" s="29" t="s">
        <v>149</v>
      </c>
      <c r="O29" s="81" t="s">
        <v>57</v>
      </c>
      <c r="P29" s="81" t="s">
        <v>146</v>
      </c>
      <c r="Q29" s="32"/>
      <c r="R29" s="32"/>
      <c r="S29" s="40"/>
    </row>
    <row r="30" s="2" customFormat="1" ht="27" spans="1:19">
      <c r="A30" s="78" t="s">
        <v>287</v>
      </c>
      <c r="B30" s="47" t="s">
        <v>101</v>
      </c>
      <c r="C30" s="47" t="s">
        <v>288</v>
      </c>
      <c r="D30" s="47" t="s">
        <v>289</v>
      </c>
      <c r="E30" s="47" t="s">
        <v>290</v>
      </c>
      <c r="F30" s="47">
        <v>1</v>
      </c>
      <c r="G30" s="47">
        <v>2024.11</v>
      </c>
      <c r="H30" s="47">
        <v>18</v>
      </c>
      <c r="I30" s="47">
        <v>1</v>
      </c>
      <c r="J30" s="47" t="s">
        <v>170</v>
      </c>
      <c r="K30" s="40" t="s">
        <v>321</v>
      </c>
      <c r="L30" s="29" t="s">
        <v>322</v>
      </c>
      <c r="M30" s="29" t="s">
        <v>148</v>
      </c>
      <c r="N30" s="29" t="s">
        <v>149</v>
      </c>
      <c r="O30" s="81" t="s">
        <v>57</v>
      </c>
      <c r="P30" s="81" t="s">
        <v>146</v>
      </c>
      <c r="Q30" s="32"/>
      <c r="R30" s="32"/>
      <c r="S30" s="40"/>
    </row>
    <row r="31" s="2" customFormat="1" ht="28.5" spans="1:19">
      <c r="A31" s="78" t="s">
        <v>287</v>
      </c>
      <c r="B31" s="47" t="s">
        <v>101</v>
      </c>
      <c r="C31" s="47" t="s">
        <v>288</v>
      </c>
      <c r="D31" s="47" t="s">
        <v>289</v>
      </c>
      <c r="E31" s="47" t="s">
        <v>290</v>
      </c>
      <c r="F31" s="47">
        <v>1</v>
      </c>
      <c r="G31" s="47">
        <v>2024.11</v>
      </c>
      <c r="H31" s="47">
        <v>18</v>
      </c>
      <c r="I31" s="47">
        <v>1</v>
      </c>
      <c r="J31" s="47" t="s">
        <v>170</v>
      </c>
      <c r="K31" s="40" t="s">
        <v>323</v>
      </c>
      <c r="L31" s="29" t="s">
        <v>324</v>
      </c>
      <c r="M31" s="29" t="s">
        <v>148</v>
      </c>
      <c r="N31" s="29" t="s">
        <v>149</v>
      </c>
      <c r="O31" s="81" t="s">
        <v>57</v>
      </c>
      <c r="P31" s="81" t="s">
        <v>146</v>
      </c>
      <c r="Q31" s="32"/>
      <c r="R31" s="32"/>
      <c r="S31" s="40"/>
    </row>
    <row r="32" s="2" customFormat="1" ht="28.5" spans="1:19">
      <c r="A32" s="78" t="s">
        <v>287</v>
      </c>
      <c r="B32" s="47" t="s">
        <v>101</v>
      </c>
      <c r="C32" s="47" t="s">
        <v>288</v>
      </c>
      <c r="D32" s="47" t="s">
        <v>289</v>
      </c>
      <c r="E32" s="47" t="s">
        <v>290</v>
      </c>
      <c r="F32" s="47">
        <v>1</v>
      </c>
      <c r="G32" s="47">
        <v>2024.11</v>
      </c>
      <c r="H32" s="47">
        <v>18</v>
      </c>
      <c r="I32" s="47">
        <v>1</v>
      </c>
      <c r="J32" s="47" t="s">
        <v>170</v>
      </c>
      <c r="K32" s="40" t="s">
        <v>325</v>
      </c>
      <c r="L32" s="29" t="s">
        <v>326</v>
      </c>
      <c r="M32" s="29" t="s">
        <v>148</v>
      </c>
      <c r="N32" s="29" t="s">
        <v>149</v>
      </c>
      <c r="O32" s="81" t="s">
        <v>57</v>
      </c>
      <c r="P32" s="81" t="s">
        <v>146</v>
      </c>
      <c r="Q32" s="32"/>
      <c r="R32" s="32"/>
      <c r="S32" s="40"/>
    </row>
    <row r="33" s="2" customFormat="1" ht="28.5" spans="1:19">
      <c r="A33" s="78" t="s">
        <v>287</v>
      </c>
      <c r="B33" s="47" t="s">
        <v>101</v>
      </c>
      <c r="C33" s="47" t="s">
        <v>288</v>
      </c>
      <c r="D33" s="47" t="s">
        <v>289</v>
      </c>
      <c r="E33" s="47" t="s">
        <v>290</v>
      </c>
      <c r="F33" s="47">
        <v>1</v>
      </c>
      <c r="G33" s="47">
        <v>2024.11</v>
      </c>
      <c r="H33" s="47">
        <v>18</v>
      </c>
      <c r="I33" s="47">
        <v>1</v>
      </c>
      <c r="J33" s="47" t="s">
        <v>170</v>
      </c>
      <c r="K33" s="40" t="s">
        <v>327</v>
      </c>
      <c r="L33" s="29" t="s">
        <v>328</v>
      </c>
      <c r="M33" s="29" t="s">
        <v>148</v>
      </c>
      <c r="N33" s="29" t="s">
        <v>149</v>
      </c>
      <c r="O33" s="81" t="s">
        <v>57</v>
      </c>
      <c r="P33" s="81" t="s">
        <v>146</v>
      </c>
      <c r="Q33" s="32"/>
      <c r="R33" s="32"/>
      <c r="S33" s="40"/>
    </row>
    <row r="34" s="2" customFormat="1" ht="40.5" spans="1:19">
      <c r="A34" s="21" t="s">
        <v>122</v>
      </c>
      <c r="B34" s="21" t="s">
        <v>25</v>
      </c>
      <c r="C34" s="21" t="s">
        <v>351</v>
      </c>
      <c r="D34" s="21" t="s">
        <v>352</v>
      </c>
      <c r="E34" s="21" t="s">
        <v>353</v>
      </c>
      <c r="F34" s="21">
        <v>1</v>
      </c>
      <c r="G34" s="21" t="s">
        <v>354</v>
      </c>
      <c r="H34" s="21"/>
      <c r="I34" s="21">
        <v>1</v>
      </c>
      <c r="J34" s="21" t="s">
        <v>170</v>
      </c>
      <c r="K34" s="29" t="s">
        <v>373</v>
      </c>
      <c r="L34" s="29" t="s">
        <v>373</v>
      </c>
      <c r="M34" s="57" t="s">
        <v>148</v>
      </c>
      <c r="N34" s="57" t="s">
        <v>149</v>
      </c>
      <c r="O34" s="24" t="s">
        <v>357</v>
      </c>
      <c r="P34" s="24" t="s">
        <v>358</v>
      </c>
      <c r="Q34" s="27"/>
      <c r="R34" s="27"/>
      <c r="S34" s="28"/>
    </row>
    <row r="35" s="2" customFormat="1" ht="27" spans="1:19">
      <c r="A35" s="47" t="s">
        <v>137</v>
      </c>
      <c r="B35" s="47" t="s">
        <v>101</v>
      </c>
      <c r="C35" s="47" t="s">
        <v>138</v>
      </c>
      <c r="D35" s="47" t="s">
        <v>139</v>
      </c>
      <c r="E35" s="47" t="s">
        <v>362</v>
      </c>
      <c r="F35" s="47">
        <v>8</v>
      </c>
      <c r="G35" s="47" t="s">
        <v>141</v>
      </c>
      <c r="H35" s="47">
        <v>31</v>
      </c>
      <c r="I35" s="47">
        <v>8</v>
      </c>
      <c r="J35" s="47" t="s">
        <v>30</v>
      </c>
      <c r="K35" s="90" t="s">
        <v>374</v>
      </c>
      <c r="L35" s="90" t="s">
        <v>375</v>
      </c>
      <c r="M35" s="28" t="s">
        <v>148</v>
      </c>
      <c r="N35" s="57" t="s">
        <v>149</v>
      </c>
      <c r="O35" s="31" t="s">
        <v>365</v>
      </c>
      <c r="P35" s="31"/>
      <c r="Q35" s="27"/>
      <c r="R35" s="27"/>
      <c r="S35" s="28"/>
    </row>
    <row r="36" s="2" customFormat="1" ht="27" spans="1:19">
      <c r="A36" s="47" t="s">
        <v>137</v>
      </c>
      <c r="B36" s="47" t="s">
        <v>101</v>
      </c>
      <c r="C36" s="47" t="s">
        <v>138</v>
      </c>
      <c r="D36" s="47" t="s">
        <v>139</v>
      </c>
      <c r="E36" s="47" t="s">
        <v>362</v>
      </c>
      <c r="F36" s="47">
        <v>8</v>
      </c>
      <c r="G36" s="47" t="s">
        <v>141</v>
      </c>
      <c r="H36" s="47">
        <v>31</v>
      </c>
      <c r="I36" s="47">
        <v>8</v>
      </c>
      <c r="J36" s="47" t="s">
        <v>30</v>
      </c>
      <c r="K36" s="90" t="s">
        <v>376</v>
      </c>
      <c r="L36" s="90" t="s">
        <v>377</v>
      </c>
      <c r="M36" s="28" t="s">
        <v>148</v>
      </c>
      <c r="N36" s="57" t="s">
        <v>149</v>
      </c>
      <c r="O36" s="31" t="s">
        <v>365</v>
      </c>
      <c r="P36" s="31"/>
      <c r="Q36" s="27"/>
      <c r="R36" s="27"/>
      <c r="S36" s="28"/>
    </row>
    <row r="37" s="2" customFormat="1" ht="27" spans="1:19">
      <c r="A37" s="47" t="s">
        <v>137</v>
      </c>
      <c r="B37" s="47" t="s">
        <v>101</v>
      </c>
      <c r="C37" s="47" t="s">
        <v>138</v>
      </c>
      <c r="D37" s="47" t="s">
        <v>139</v>
      </c>
      <c r="E37" s="47" t="s">
        <v>362</v>
      </c>
      <c r="F37" s="47">
        <v>8</v>
      </c>
      <c r="G37" s="47" t="s">
        <v>141</v>
      </c>
      <c r="H37" s="47">
        <v>31</v>
      </c>
      <c r="I37" s="47">
        <v>8</v>
      </c>
      <c r="J37" s="47" t="s">
        <v>30</v>
      </c>
      <c r="K37" s="90" t="s">
        <v>378</v>
      </c>
      <c r="L37" s="90" t="s">
        <v>379</v>
      </c>
      <c r="M37" s="28" t="s">
        <v>148</v>
      </c>
      <c r="N37" s="57" t="s">
        <v>149</v>
      </c>
      <c r="O37" s="31" t="s">
        <v>365</v>
      </c>
      <c r="P37" s="31"/>
      <c r="Q37" s="27"/>
      <c r="R37" s="27"/>
      <c r="S37" s="28"/>
    </row>
    <row r="38" s="2" customFormat="1" ht="27" spans="1:19">
      <c r="A38" s="47" t="s">
        <v>137</v>
      </c>
      <c r="B38" s="47" t="s">
        <v>101</v>
      </c>
      <c r="C38" s="47" t="s">
        <v>138</v>
      </c>
      <c r="D38" s="47" t="s">
        <v>139</v>
      </c>
      <c r="E38" s="47" t="s">
        <v>362</v>
      </c>
      <c r="F38" s="47">
        <v>8</v>
      </c>
      <c r="G38" s="47" t="s">
        <v>141</v>
      </c>
      <c r="H38" s="47">
        <v>31</v>
      </c>
      <c r="I38" s="47">
        <v>8</v>
      </c>
      <c r="J38" s="47" t="s">
        <v>30</v>
      </c>
      <c r="K38" s="90" t="s">
        <v>380</v>
      </c>
      <c r="L38" s="90" t="s">
        <v>381</v>
      </c>
      <c r="M38" s="28" t="s">
        <v>148</v>
      </c>
      <c r="N38" s="57" t="s">
        <v>149</v>
      </c>
      <c r="O38" s="31" t="s">
        <v>365</v>
      </c>
      <c r="P38" s="31"/>
      <c r="Q38" s="27"/>
      <c r="R38" s="27"/>
      <c r="S38" s="28"/>
    </row>
    <row r="39" s="2" customFormat="1" ht="27" spans="1:19">
      <c r="A39" s="47" t="s">
        <v>137</v>
      </c>
      <c r="B39" s="47" t="s">
        <v>101</v>
      </c>
      <c r="C39" s="47" t="s">
        <v>138</v>
      </c>
      <c r="D39" s="47" t="s">
        <v>139</v>
      </c>
      <c r="E39" s="47" t="s">
        <v>362</v>
      </c>
      <c r="F39" s="47">
        <v>8</v>
      </c>
      <c r="G39" s="47" t="s">
        <v>141</v>
      </c>
      <c r="H39" s="47">
        <v>31</v>
      </c>
      <c r="I39" s="47">
        <v>8</v>
      </c>
      <c r="J39" s="47" t="s">
        <v>30</v>
      </c>
      <c r="K39" s="87" t="s">
        <v>382</v>
      </c>
      <c r="L39" s="90" t="s">
        <v>383</v>
      </c>
      <c r="M39" s="28" t="s">
        <v>148</v>
      </c>
      <c r="N39" s="57" t="s">
        <v>149</v>
      </c>
      <c r="O39" s="31" t="s">
        <v>365</v>
      </c>
      <c r="P39" s="31"/>
      <c r="Q39" s="27"/>
      <c r="R39" s="27"/>
      <c r="S39" s="28"/>
    </row>
    <row r="40" ht="27" spans="1:19">
      <c r="A40" s="31" t="s">
        <v>265</v>
      </c>
      <c r="B40" s="30" t="s">
        <v>101</v>
      </c>
      <c r="C40" s="30" t="s">
        <v>123</v>
      </c>
      <c r="D40" s="30" t="s">
        <v>124</v>
      </c>
      <c r="E40" s="30" t="s">
        <v>125</v>
      </c>
      <c r="F40" s="30">
        <v>4</v>
      </c>
      <c r="G40" s="30" t="s">
        <v>78</v>
      </c>
      <c r="H40" s="30">
        <v>18</v>
      </c>
      <c r="I40" s="30">
        <v>4</v>
      </c>
      <c r="J40" s="30" t="s">
        <v>52</v>
      </c>
      <c r="K40" s="87" t="s">
        <v>384</v>
      </c>
      <c r="L40" s="87" t="s">
        <v>385</v>
      </c>
      <c r="M40" s="28" t="s">
        <v>61</v>
      </c>
      <c r="N40" s="28" t="s">
        <v>62</v>
      </c>
      <c r="O40" s="30" t="s">
        <v>365</v>
      </c>
      <c r="P40" s="31" t="s">
        <v>386</v>
      </c>
      <c r="Q40" s="27"/>
      <c r="R40" s="27"/>
      <c r="S40" s="28"/>
    </row>
    <row r="41" ht="42.75" spans="1:19">
      <c r="A41" s="30" t="s">
        <v>24</v>
      </c>
      <c r="B41" s="30" t="s">
        <v>101</v>
      </c>
      <c r="C41" s="30" t="s">
        <v>387</v>
      </c>
      <c r="D41" s="30" t="s">
        <v>388</v>
      </c>
      <c r="E41" s="30" t="s">
        <v>389</v>
      </c>
      <c r="F41" s="30">
        <v>20</v>
      </c>
      <c r="G41" s="30">
        <v>2024.11</v>
      </c>
      <c r="H41" s="30">
        <v>22</v>
      </c>
      <c r="I41" s="30">
        <v>20</v>
      </c>
      <c r="J41" s="30" t="s">
        <v>170</v>
      </c>
      <c r="K41" s="99" t="s">
        <v>390</v>
      </c>
      <c r="L41" s="99" t="s">
        <v>391</v>
      </c>
      <c r="M41" s="28" t="s">
        <v>392</v>
      </c>
      <c r="N41" s="57" t="s">
        <v>149</v>
      </c>
      <c r="O41" s="24" t="s">
        <v>393</v>
      </c>
      <c r="P41" s="24" t="s">
        <v>394</v>
      </c>
      <c r="Q41" s="24" t="s">
        <v>395</v>
      </c>
      <c r="R41" s="24"/>
      <c r="S41" s="24"/>
    </row>
    <row r="42" ht="114" spans="1:19">
      <c r="A42" s="30" t="s">
        <v>24</v>
      </c>
      <c r="B42" s="30" t="s">
        <v>101</v>
      </c>
      <c r="C42" s="30" t="s">
        <v>387</v>
      </c>
      <c r="D42" s="30" t="s">
        <v>388</v>
      </c>
      <c r="E42" s="30" t="s">
        <v>389</v>
      </c>
      <c r="F42" s="30">
        <v>20</v>
      </c>
      <c r="G42" s="30">
        <v>2024.11</v>
      </c>
      <c r="H42" s="30">
        <v>22</v>
      </c>
      <c r="I42" s="30">
        <v>20</v>
      </c>
      <c r="J42" s="30" t="s">
        <v>170</v>
      </c>
      <c r="K42" s="99" t="s">
        <v>396</v>
      </c>
      <c r="L42" s="99" t="s">
        <v>397</v>
      </c>
      <c r="M42" s="28" t="s">
        <v>392</v>
      </c>
      <c r="N42" s="57" t="s">
        <v>149</v>
      </c>
      <c r="O42" s="24" t="s">
        <v>393</v>
      </c>
      <c r="P42" s="24" t="s">
        <v>394</v>
      </c>
      <c r="Q42" s="24" t="s">
        <v>395</v>
      </c>
      <c r="R42" s="24"/>
      <c r="S42" s="24"/>
    </row>
    <row r="43" ht="42.75" spans="1:19">
      <c r="A43" s="30" t="s">
        <v>24</v>
      </c>
      <c r="B43" s="30" t="s">
        <v>101</v>
      </c>
      <c r="C43" s="30" t="s">
        <v>387</v>
      </c>
      <c r="D43" s="30" t="s">
        <v>388</v>
      </c>
      <c r="E43" s="30" t="s">
        <v>389</v>
      </c>
      <c r="F43" s="30">
        <v>20</v>
      </c>
      <c r="G43" s="30">
        <v>2024.11</v>
      </c>
      <c r="H43" s="30">
        <v>22</v>
      </c>
      <c r="I43" s="30">
        <v>20</v>
      </c>
      <c r="J43" s="30" t="s">
        <v>170</v>
      </c>
      <c r="K43" s="99" t="s">
        <v>398</v>
      </c>
      <c r="L43" s="99" t="s">
        <v>399</v>
      </c>
      <c r="M43" s="28" t="s">
        <v>392</v>
      </c>
      <c r="N43" s="57" t="s">
        <v>149</v>
      </c>
      <c r="O43" s="24" t="s">
        <v>393</v>
      </c>
      <c r="P43" s="24" t="s">
        <v>394</v>
      </c>
      <c r="Q43" s="24" t="s">
        <v>395</v>
      </c>
      <c r="R43" s="24"/>
      <c r="S43" s="24"/>
    </row>
    <row r="44" ht="27" spans="1:19">
      <c r="A44" s="30" t="s">
        <v>24</v>
      </c>
      <c r="B44" s="47" t="s">
        <v>101</v>
      </c>
      <c r="C44" s="47" t="s">
        <v>400</v>
      </c>
      <c r="D44" s="47" t="s">
        <v>401</v>
      </c>
      <c r="E44" s="47" t="s">
        <v>402</v>
      </c>
      <c r="F44" s="47">
        <v>77</v>
      </c>
      <c r="G44" s="47">
        <v>2024.9</v>
      </c>
      <c r="H44" s="47">
        <v>22</v>
      </c>
      <c r="I44" s="47">
        <v>77</v>
      </c>
      <c r="J44" s="47" t="s">
        <v>30</v>
      </c>
      <c r="K44" s="100" t="s">
        <v>403</v>
      </c>
      <c r="L44" s="101" t="s">
        <v>404</v>
      </c>
      <c r="M44" s="28" t="s">
        <v>392</v>
      </c>
      <c r="N44" s="57" t="s">
        <v>149</v>
      </c>
      <c r="O44" s="24" t="s">
        <v>405</v>
      </c>
      <c r="P44" s="24" t="s">
        <v>372</v>
      </c>
      <c r="Q44" s="24"/>
      <c r="R44" s="24"/>
      <c r="S44" s="24"/>
    </row>
    <row r="45" ht="27" spans="1:19">
      <c r="A45" s="30" t="s">
        <v>24</v>
      </c>
      <c r="B45" s="47" t="s">
        <v>101</v>
      </c>
      <c r="C45" s="47" t="s">
        <v>400</v>
      </c>
      <c r="D45" s="47" t="s">
        <v>401</v>
      </c>
      <c r="E45" s="47" t="s">
        <v>402</v>
      </c>
      <c r="F45" s="47">
        <v>77</v>
      </c>
      <c r="G45" s="47">
        <v>2024.9</v>
      </c>
      <c r="H45" s="47">
        <v>22</v>
      </c>
      <c r="I45" s="47">
        <v>77</v>
      </c>
      <c r="J45" s="47" t="s">
        <v>30</v>
      </c>
      <c r="K45" s="100" t="s">
        <v>406</v>
      </c>
      <c r="L45" s="101" t="s">
        <v>407</v>
      </c>
      <c r="M45" s="28" t="s">
        <v>392</v>
      </c>
      <c r="N45" s="57" t="s">
        <v>149</v>
      </c>
      <c r="O45" s="24" t="s">
        <v>405</v>
      </c>
      <c r="P45" s="24" t="s">
        <v>372</v>
      </c>
      <c r="Q45" s="24"/>
      <c r="R45" s="24"/>
      <c r="S45" s="24"/>
    </row>
    <row r="46" ht="28.5" spans="1:19">
      <c r="A46" s="21" t="s">
        <v>137</v>
      </c>
      <c r="B46" s="21" t="s">
        <v>101</v>
      </c>
      <c r="C46" s="21" t="s">
        <v>138</v>
      </c>
      <c r="D46" s="21" t="s">
        <v>139</v>
      </c>
      <c r="E46" s="21" t="s">
        <v>362</v>
      </c>
      <c r="F46" s="21">
        <v>8</v>
      </c>
      <c r="G46" s="21" t="s">
        <v>141</v>
      </c>
      <c r="H46" s="21">
        <v>31</v>
      </c>
      <c r="I46" s="21">
        <v>8</v>
      </c>
      <c r="J46" s="21" t="s">
        <v>30</v>
      </c>
      <c r="K46" s="105" t="s">
        <v>408</v>
      </c>
      <c r="L46" s="22" t="s">
        <v>409</v>
      </c>
      <c r="M46" s="90" t="s">
        <v>410</v>
      </c>
      <c r="N46" s="57" t="s">
        <v>149</v>
      </c>
      <c r="O46" s="24" t="s">
        <v>411</v>
      </c>
      <c r="P46" s="24" t="s">
        <v>372</v>
      </c>
      <c r="Q46" s="31"/>
      <c r="R46" s="31"/>
      <c r="S46" s="30"/>
    </row>
    <row r="47" ht="40.5" spans="1:19">
      <c r="A47" s="21" t="s">
        <v>137</v>
      </c>
      <c r="B47" s="21" t="s">
        <v>101</v>
      </c>
      <c r="C47" s="21" t="s">
        <v>138</v>
      </c>
      <c r="D47" s="21" t="s">
        <v>139</v>
      </c>
      <c r="E47" s="21" t="s">
        <v>362</v>
      </c>
      <c r="F47" s="21">
        <v>8</v>
      </c>
      <c r="G47" s="21" t="s">
        <v>141</v>
      </c>
      <c r="H47" s="21">
        <v>31</v>
      </c>
      <c r="I47" s="21">
        <v>8</v>
      </c>
      <c r="J47" s="21" t="s">
        <v>30</v>
      </c>
      <c r="K47" s="22" t="s">
        <v>409</v>
      </c>
      <c r="L47" s="22" t="s">
        <v>412</v>
      </c>
      <c r="M47" s="90" t="s">
        <v>410</v>
      </c>
      <c r="N47" s="57" t="s">
        <v>149</v>
      </c>
      <c r="O47" s="24" t="s">
        <v>411</v>
      </c>
      <c r="P47" s="24" t="s">
        <v>372</v>
      </c>
      <c r="Q47" s="31"/>
      <c r="R47" s="31"/>
      <c r="S47" s="30"/>
    </row>
    <row r="48" ht="40.5" spans="1:19">
      <c r="A48" s="30" t="s">
        <v>189</v>
      </c>
      <c r="B48" s="30" t="s">
        <v>101</v>
      </c>
      <c r="C48" s="30" t="s">
        <v>205</v>
      </c>
      <c r="D48" s="30" t="s">
        <v>206</v>
      </c>
      <c r="E48" s="30" t="s">
        <v>207</v>
      </c>
      <c r="F48" s="30">
        <v>3</v>
      </c>
      <c r="G48" s="30" t="s">
        <v>208</v>
      </c>
      <c r="H48" s="30">
        <v>13</v>
      </c>
      <c r="I48" s="30">
        <v>3</v>
      </c>
      <c r="J48" s="30" t="s">
        <v>170</v>
      </c>
      <c r="K48" s="22" t="s">
        <v>413</v>
      </c>
      <c r="L48" s="22" t="s">
        <v>414</v>
      </c>
      <c r="M48" s="87" t="s">
        <v>61</v>
      </c>
      <c r="N48" s="22" t="s">
        <v>62</v>
      </c>
      <c r="O48" s="31" t="s">
        <v>411</v>
      </c>
      <c r="P48" s="31" t="s">
        <v>372</v>
      </c>
      <c r="Q48" s="27"/>
      <c r="R48" s="27"/>
      <c r="S48" s="28"/>
    </row>
    <row r="49" ht="54" spans="1:19">
      <c r="A49" s="30" t="s">
        <v>189</v>
      </c>
      <c r="B49" s="30" t="s">
        <v>25</v>
      </c>
      <c r="C49" s="30" t="s">
        <v>415</v>
      </c>
      <c r="D49" s="30" t="s">
        <v>416</v>
      </c>
      <c r="E49" s="30" t="s">
        <v>417</v>
      </c>
      <c r="F49" s="30">
        <v>1</v>
      </c>
      <c r="G49" s="30">
        <v>2023.12</v>
      </c>
      <c r="H49" s="30">
        <v>5</v>
      </c>
      <c r="I49" s="30">
        <v>1</v>
      </c>
      <c r="J49" s="30"/>
      <c r="K49" s="22" t="s">
        <v>418</v>
      </c>
      <c r="L49" s="22" t="s">
        <v>419</v>
      </c>
      <c r="M49" s="87" t="s">
        <v>61</v>
      </c>
      <c r="N49" s="22" t="s">
        <v>62</v>
      </c>
      <c r="O49" s="31" t="s">
        <v>411</v>
      </c>
      <c r="P49" s="31" t="s">
        <v>372</v>
      </c>
      <c r="Q49" s="27"/>
      <c r="R49" s="27"/>
      <c r="S49" s="28"/>
    </row>
    <row r="50" ht="27" spans="1:19">
      <c r="A50" s="30" t="s">
        <v>420</v>
      </c>
      <c r="B50" s="30" t="s">
        <v>101</v>
      </c>
      <c r="C50" s="30" t="s">
        <v>218</v>
      </c>
      <c r="D50" s="30" t="s">
        <v>238</v>
      </c>
      <c r="E50" s="30" t="s">
        <v>239</v>
      </c>
      <c r="F50" s="30">
        <v>1</v>
      </c>
      <c r="G50" s="30">
        <v>2024.1</v>
      </c>
      <c r="H50" s="30">
        <v>25</v>
      </c>
      <c r="I50" s="30">
        <v>1</v>
      </c>
      <c r="J50" s="30" t="s">
        <v>30</v>
      </c>
      <c r="K50" s="22" t="s">
        <v>421</v>
      </c>
      <c r="L50" s="22" t="s">
        <v>422</v>
      </c>
      <c r="M50" s="87" t="s">
        <v>423</v>
      </c>
      <c r="N50" s="22" t="s">
        <v>149</v>
      </c>
      <c r="O50" s="31" t="s">
        <v>411</v>
      </c>
      <c r="P50" s="31" t="s">
        <v>372</v>
      </c>
      <c r="Q50" s="27"/>
      <c r="R50" s="27"/>
      <c r="S50" s="28"/>
    </row>
    <row r="51" ht="27" spans="1:19">
      <c r="A51" s="30" t="s">
        <v>420</v>
      </c>
      <c r="B51" s="30" t="s">
        <v>101</v>
      </c>
      <c r="C51" s="30" t="s">
        <v>218</v>
      </c>
      <c r="D51" s="30" t="s">
        <v>238</v>
      </c>
      <c r="E51" s="30" t="s">
        <v>239</v>
      </c>
      <c r="F51" s="30">
        <v>1</v>
      </c>
      <c r="G51" s="30">
        <v>2024.1</v>
      </c>
      <c r="H51" s="30">
        <v>25</v>
      </c>
      <c r="I51" s="30">
        <v>1</v>
      </c>
      <c r="J51" s="30" t="s">
        <v>30</v>
      </c>
      <c r="K51" s="22" t="s">
        <v>424</v>
      </c>
      <c r="L51" s="22" t="s">
        <v>425</v>
      </c>
      <c r="M51" s="87" t="s">
        <v>423</v>
      </c>
      <c r="N51" s="22" t="s">
        <v>149</v>
      </c>
      <c r="O51" s="31" t="s">
        <v>411</v>
      </c>
      <c r="P51" s="31" t="s">
        <v>372</v>
      </c>
      <c r="Q51" s="27"/>
      <c r="R51" s="27"/>
      <c r="S51" s="28"/>
    </row>
    <row r="52" ht="27" spans="1:19">
      <c r="A52" s="30" t="s">
        <v>420</v>
      </c>
      <c r="B52" s="30" t="s">
        <v>101</v>
      </c>
      <c r="C52" s="30" t="s">
        <v>218</v>
      </c>
      <c r="D52" s="30" t="s">
        <v>238</v>
      </c>
      <c r="E52" s="30" t="s">
        <v>239</v>
      </c>
      <c r="F52" s="30">
        <v>1</v>
      </c>
      <c r="G52" s="30">
        <v>2024.1</v>
      </c>
      <c r="H52" s="30">
        <v>25</v>
      </c>
      <c r="I52" s="30">
        <v>1</v>
      </c>
      <c r="J52" s="30" t="s">
        <v>30</v>
      </c>
      <c r="K52" s="22" t="s">
        <v>426</v>
      </c>
      <c r="L52" s="22" t="s">
        <v>427</v>
      </c>
      <c r="M52" s="87" t="s">
        <v>428</v>
      </c>
      <c r="N52" s="22" t="s">
        <v>149</v>
      </c>
      <c r="O52" s="31" t="s">
        <v>411</v>
      </c>
      <c r="P52" s="31" t="s">
        <v>372</v>
      </c>
      <c r="Q52" s="27"/>
      <c r="R52" s="27"/>
      <c r="S52" s="28"/>
    </row>
    <row r="53" ht="28.5" spans="1:19">
      <c r="A53" s="30" t="s">
        <v>420</v>
      </c>
      <c r="B53" s="30" t="s">
        <v>101</v>
      </c>
      <c r="C53" s="30" t="s">
        <v>218</v>
      </c>
      <c r="D53" s="30" t="s">
        <v>238</v>
      </c>
      <c r="E53" s="30" t="s">
        <v>239</v>
      </c>
      <c r="F53" s="30">
        <v>1</v>
      </c>
      <c r="G53" s="30">
        <v>2024.1</v>
      </c>
      <c r="H53" s="30">
        <v>25</v>
      </c>
      <c r="I53" s="30">
        <v>1</v>
      </c>
      <c r="J53" s="30" t="s">
        <v>30</v>
      </c>
      <c r="K53" s="107" t="s">
        <v>429</v>
      </c>
      <c r="L53" s="107" t="s">
        <v>430</v>
      </c>
      <c r="M53" s="87" t="s">
        <v>423</v>
      </c>
      <c r="N53" s="22" t="s">
        <v>149</v>
      </c>
      <c r="O53" s="31" t="s">
        <v>411</v>
      </c>
      <c r="P53" s="31" t="s">
        <v>372</v>
      </c>
      <c r="Q53" s="27"/>
      <c r="R53" s="27"/>
      <c r="S53" s="28"/>
    </row>
    <row r="54" ht="28.5" spans="1:19">
      <c r="A54" s="30" t="s">
        <v>420</v>
      </c>
      <c r="B54" s="30" t="s">
        <v>101</v>
      </c>
      <c r="C54" s="30" t="s">
        <v>218</v>
      </c>
      <c r="D54" s="30" t="s">
        <v>238</v>
      </c>
      <c r="E54" s="30" t="s">
        <v>239</v>
      </c>
      <c r="F54" s="30">
        <v>1</v>
      </c>
      <c r="G54" s="30">
        <v>2024.1</v>
      </c>
      <c r="H54" s="30">
        <v>25</v>
      </c>
      <c r="I54" s="30">
        <v>1</v>
      </c>
      <c r="J54" s="30" t="s">
        <v>30</v>
      </c>
      <c r="K54" s="107" t="s">
        <v>431</v>
      </c>
      <c r="L54" s="107" t="s">
        <v>432</v>
      </c>
      <c r="M54" s="87" t="s">
        <v>423</v>
      </c>
      <c r="N54" s="22" t="s">
        <v>149</v>
      </c>
      <c r="O54" s="31" t="s">
        <v>411</v>
      </c>
      <c r="P54" s="31" t="s">
        <v>372</v>
      </c>
      <c r="Q54" s="27"/>
      <c r="R54" s="27"/>
      <c r="S54" s="28"/>
    </row>
    <row r="55" ht="27" spans="1:19">
      <c r="A55" s="30" t="s">
        <v>420</v>
      </c>
      <c r="B55" s="30" t="s">
        <v>101</v>
      </c>
      <c r="C55" s="30" t="s">
        <v>218</v>
      </c>
      <c r="D55" s="30" t="s">
        <v>238</v>
      </c>
      <c r="E55" s="30" t="s">
        <v>239</v>
      </c>
      <c r="F55" s="30">
        <v>1</v>
      </c>
      <c r="G55" s="30">
        <v>2024.1</v>
      </c>
      <c r="H55" s="30">
        <v>25</v>
      </c>
      <c r="I55" s="30">
        <v>1</v>
      </c>
      <c r="J55" s="30" t="s">
        <v>30</v>
      </c>
      <c r="K55" s="107" t="s">
        <v>433</v>
      </c>
      <c r="L55" s="107" t="s">
        <v>434</v>
      </c>
      <c r="M55" s="87" t="s">
        <v>423</v>
      </c>
      <c r="N55" s="22" t="s">
        <v>149</v>
      </c>
      <c r="O55" s="31" t="s">
        <v>411</v>
      </c>
      <c r="P55" s="31" t="s">
        <v>372</v>
      </c>
      <c r="Q55" s="27"/>
      <c r="R55" s="27"/>
      <c r="S55" s="28"/>
    </row>
    <row r="56" ht="40.5" spans="1:19">
      <c r="A56" s="94" t="s">
        <v>287</v>
      </c>
      <c r="B56" s="34" t="s">
        <v>101</v>
      </c>
      <c r="C56" s="34" t="s">
        <v>435</v>
      </c>
      <c r="D56" s="34" t="s">
        <v>436</v>
      </c>
      <c r="E56" s="34" t="s">
        <v>389</v>
      </c>
      <c r="F56" s="34">
        <v>11</v>
      </c>
      <c r="G56" s="34">
        <v>2024.11</v>
      </c>
      <c r="H56" s="34">
        <v>22</v>
      </c>
      <c r="I56" s="34">
        <v>11</v>
      </c>
      <c r="J56" s="34" t="s">
        <v>170</v>
      </c>
      <c r="K56" s="22" t="s">
        <v>437</v>
      </c>
      <c r="L56" s="22" t="s">
        <v>438</v>
      </c>
      <c r="M56" s="28" t="s">
        <v>423</v>
      </c>
      <c r="N56" s="28" t="s">
        <v>149</v>
      </c>
      <c r="O56" s="47" t="s">
        <v>411</v>
      </c>
      <c r="P56" s="34" t="s">
        <v>372</v>
      </c>
      <c r="Q56" s="27"/>
      <c r="R56" s="27"/>
      <c r="S56" s="28"/>
    </row>
    <row r="57" ht="27" spans="1:19">
      <c r="A57" s="34" t="s">
        <v>439</v>
      </c>
      <c r="B57" s="34" t="s">
        <v>101</v>
      </c>
      <c r="C57" s="34" t="s">
        <v>440</v>
      </c>
      <c r="D57" s="34" t="s">
        <v>441</v>
      </c>
      <c r="E57" s="34" t="s">
        <v>442</v>
      </c>
      <c r="F57" s="34">
        <v>11</v>
      </c>
      <c r="G57" s="34">
        <v>2025.2</v>
      </c>
      <c r="H57" s="34">
        <v>22</v>
      </c>
      <c r="I57" s="34">
        <v>11</v>
      </c>
      <c r="J57" s="34" t="s">
        <v>443</v>
      </c>
      <c r="K57" s="22" t="s">
        <v>444</v>
      </c>
      <c r="L57" s="22" t="s">
        <v>445</v>
      </c>
      <c r="M57" s="28" t="s">
        <v>61</v>
      </c>
      <c r="N57" s="28" t="s">
        <v>62</v>
      </c>
      <c r="O57" s="34" t="s">
        <v>411</v>
      </c>
      <c r="P57" s="34" t="s">
        <v>372</v>
      </c>
      <c r="Q57" s="27"/>
      <c r="R57" s="27"/>
      <c r="S57" s="28"/>
    </row>
  </sheetData>
  <mergeCells count="1">
    <mergeCell ref="A1:S1"/>
  </mergeCells>
  <conditionalFormatting sqref="K44">
    <cfRule type="expression" dxfId="0" priority="8">
      <formula>$K44="已完成"</formula>
    </cfRule>
    <cfRule type="expression" dxfId="1" priority="7">
      <formula>OR($K44="延期",AND(#REF!="严重",$K44=""))</formula>
    </cfRule>
  </conditionalFormatting>
  <conditionalFormatting sqref="L44">
    <cfRule type="expression" dxfId="0" priority="6">
      <formula>$K44="已完成"</formula>
    </cfRule>
    <cfRule type="expression" dxfId="1" priority="5">
      <formula>OR($K44="延期",AND(#REF!="严重",$K44=""))</formula>
    </cfRule>
  </conditionalFormatting>
  <conditionalFormatting sqref="K45">
    <cfRule type="expression" dxfId="0" priority="4">
      <formula>$K45="已完成"</formula>
    </cfRule>
    <cfRule type="expression" dxfId="1" priority="3">
      <formula>OR($K45="延期",AND(#REF!="严重",$K45=""))</formula>
    </cfRule>
  </conditionalFormatting>
  <conditionalFormatting sqref="L45">
    <cfRule type="expression" dxfId="0" priority="2">
      <formula>$K45="已完成"</formula>
    </cfRule>
    <cfRule type="expression" dxfId="1" priority="1">
      <formula>OR($K45="延期",AND(#REF!="严重",$K45=""))</formula>
    </cfRule>
  </conditionalFormatting>
  <dataValidations count="1">
    <dataValidation allowBlank="1" showInputMessage="1" showErrorMessage="1" sqref="K44:L45"/>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8"/>
  <sheetViews>
    <sheetView workbookViewId="0">
      <pane xSplit="1" ySplit="2" topLeftCell="B3" activePane="bottomRight" state="frozen"/>
      <selection/>
      <selection pane="topRight"/>
      <selection pane="bottomLeft"/>
      <selection pane="bottomRight" activeCell="A1" sqref="A1:S1"/>
    </sheetView>
  </sheetViews>
  <sheetFormatPr defaultColWidth="11" defaultRowHeight="14.25"/>
  <cols>
    <col min="1" max="1" width="11" style="1"/>
    <col min="2" max="2" width="11" style="3"/>
    <col min="3" max="3" width="11" style="4"/>
    <col min="4" max="4" width="21.2166666666667" style="4" customWidth="1"/>
    <col min="5" max="5" width="14.1666666666667" style="3" customWidth="1"/>
    <col min="6" max="6" width="11" style="3"/>
    <col min="7" max="7" width="14.5" style="5"/>
    <col min="8" max="8" width="11.2083333333333" style="3"/>
    <col min="9" max="10" width="11" style="3"/>
    <col min="11" max="11" width="31.6416666666667" style="6" customWidth="1"/>
    <col min="12" max="12" width="40.6416666666667" style="6" customWidth="1"/>
    <col min="13" max="14" width="9.1" style="4"/>
    <col min="15" max="15" width="15" style="3" customWidth="1"/>
    <col min="16" max="16" width="10.6416666666667" style="3" customWidth="1"/>
    <col min="17" max="18" width="9.1" style="3"/>
    <col min="19" max="19" width="17.425" style="4" customWidth="1"/>
    <col min="20" max="16384" width="11" style="3"/>
  </cols>
  <sheetData>
    <row r="1" s="1" customFormat="1" ht="31.5" spans="1:19">
      <c r="A1" s="7" t="s">
        <v>350</v>
      </c>
      <c r="B1" s="8"/>
      <c r="C1" s="9"/>
      <c r="D1" s="9"/>
      <c r="E1" s="8"/>
      <c r="F1" s="8"/>
      <c r="G1" s="10"/>
      <c r="H1" s="8"/>
      <c r="I1" s="8"/>
      <c r="J1" s="8"/>
      <c r="K1" s="19"/>
      <c r="L1" s="19"/>
      <c r="M1" s="8"/>
      <c r="N1" s="8"/>
      <c r="O1" s="8"/>
      <c r="P1" s="8"/>
      <c r="Q1" s="8"/>
      <c r="R1" s="8"/>
      <c r="S1" s="26"/>
    </row>
    <row r="2" s="1" customFormat="1" ht="42.75" spans="1:19">
      <c r="A2" s="11" t="s">
        <v>1</v>
      </c>
      <c r="B2" s="12" t="s">
        <v>2</v>
      </c>
      <c r="C2" s="12" t="s">
        <v>3</v>
      </c>
      <c r="D2" s="13" t="s">
        <v>4</v>
      </c>
      <c r="E2" s="11" t="s">
        <v>5</v>
      </c>
      <c r="F2" s="12" t="s">
        <v>6</v>
      </c>
      <c r="G2" s="13" t="s">
        <v>11</v>
      </c>
      <c r="H2" s="12" t="s">
        <v>12</v>
      </c>
      <c r="I2" s="12" t="s">
        <v>13</v>
      </c>
      <c r="J2" s="12" t="s">
        <v>14</v>
      </c>
      <c r="K2" s="20" t="s">
        <v>15</v>
      </c>
      <c r="L2" s="20" t="s">
        <v>16</v>
      </c>
      <c r="M2" s="20" t="s">
        <v>17</v>
      </c>
      <c r="N2" s="20" t="s">
        <v>18</v>
      </c>
      <c r="O2" s="20" t="s">
        <v>19</v>
      </c>
      <c r="P2" s="20" t="s">
        <v>20</v>
      </c>
      <c r="Q2" s="20" t="s">
        <v>21</v>
      </c>
      <c r="R2" s="20" t="s">
        <v>22</v>
      </c>
      <c r="S2" s="20" t="s">
        <v>23</v>
      </c>
    </row>
    <row r="3" s="32" customFormat="1" ht="67.5" spans="1:19">
      <c r="A3" s="34" t="s">
        <v>24</v>
      </c>
      <c r="B3" s="29" t="s">
        <v>25</v>
      </c>
      <c r="C3" s="29" t="s">
        <v>26</v>
      </c>
      <c r="D3" s="35" t="s">
        <v>27</v>
      </c>
      <c r="E3" s="36" t="s">
        <v>446</v>
      </c>
      <c r="F3" s="29">
        <v>1</v>
      </c>
      <c r="G3" s="37" t="s">
        <v>29</v>
      </c>
      <c r="H3" s="29">
        <v>18</v>
      </c>
      <c r="I3" s="29">
        <v>1</v>
      </c>
      <c r="J3" s="47" t="s">
        <v>30</v>
      </c>
      <c r="K3" s="40" t="s">
        <v>31</v>
      </c>
      <c r="L3" s="56" t="s">
        <v>32</v>
      </c>
      <c r="M3" s="57" t="s">
        <v>33</v>
      </c>
      <c r="N3" s="57" t="s">
        <v>34</v>
      </c>
      <c r="O3" s="57" t="s">
        <v>35</v>
      </c>
      <c r="P3" s="57" t="s">
        <v>35</v>
      </c>
      <c r="Q3" s="57"/>
      <c r="R3" s="57"/>
      <c r="S3" s="57"/>
    </row>
    <row r="4" s="32" customFormat="1" ht="54" spans="1:19">
      <c r="A4" s="34" t="s">
        <v>24</v>
      </c>
      <c r="B4" s="29" t="s">
        <v>25</v>
      </c>
      <c r="C4" s="29" t="s">
        <v>36</v>
      </c>
      <c r="D4" s="35" t="s">
        <v>37</v>
      </c>
      <c r="E4" s="35" t="s">
        <v>38</v>
      </c>
      <c r="F4" s="29">
        <v>1</v>
      </c>
      <c r="G4" s="37" t="s">
        <v>39</v>
      </c>
      <c r="H4" s="29">
        <v>4</v>
      </c>
      <c r="I4" s="29">
        <v>1</v>
      </c>
      <c r="J4" s="47" t="s">
        <v>40</v>
      </c>
      <c r="K4" s="56" t="s">
        <v>41</v>
      </c>
      <c r="L4" s="56" t="s">
        <v>42</v>
      </c>
      <c r="M4" s="57" t="s">
        <v>43</v>
      </c>
      <c r="N4" s="57" t="s">
        <v>44</v>
      </c>
      <c r="O4" s="57" t="s">
        <v>45</v>
      </c>
      <c r="P4" s="57" t="s">
        <v>46</v>
      </c>
      <c r="Q4" s="57"/>
      <c r="R4" s="57"/>
      <c r="S4" s="57"/>
    </row>
    <row r="5" s="1" customFormat="1" ht="63.75" spans="1:19">
      <c r="A5" s="38" t="s">
        <v>47</v>
      </c>
      <c r="B5" s="41" t="s">
        <v>25</v>
      </c>
      <c r="C5" s="41" t="s">
        <v>48</v>
      </c>
      <c r="D5" s="42" t="s">
        <v>76</v>
      </c>
      <c r="E5" s="42" t="s">
        <v>77</v>
      </c>
      <c r="F5" s="42">
        <v>1</v>
      </c>
      <c r="G5" s="43" t="s">
        <v>78</v>
      </c>
      <c r="H5" s="42">
        <v>31</v>
      </c>
      <c r="I5" s="42">
        <v>1</v>
      </c>
      <c r="J5" s="50" t="s">
        <v>52</v>
      </c>
      <c r="K5" s="58" t="s">
        <v>79</v>
      </c>
      <c r="L5" s="58" t="s">
        <v>80</v>
      </c>
      <c r="M5" s="57" t="s">
        <v>81</v>
      </c>
      <c r="N5" s="57" t="s">
        <v>82</v>
      </c>
      <c r="O5" s="24" t="s">
        <v>57</v>
      </c>
      <c r="P5" s="59" t="s">
        <v>58</v>
      </c>
      <c r="Q5" s="74"/>
      <c r="R5" s="74"/>
      <c r="S5" s="29"/>
    </row>
    <row r="6" s="1" customFormat="1" ht="40.5" spans="1:19">
      <c r="A6" s="39" t="s">
        <v>47</v>
      </c>
      <c r="B6" s="39" t="s">
        <v>25</v>
      </c>
      <c r="C6" s="39" t="s">
        <v>48</v>
      </c>
      <c r="D6" s="29" t="s">
        <v>83</v>
      </c>
      <c r="E6" s="29" t="s">
        <v>84</v>
      </c>
      <c r="F6" s="29">
        <v>1</v>
      </c>
      <c r="G6" s="37" t="s">
        <v>78</v>
      </c>
      <c r="H6" s="29">
        <v>30</v>
      </c>
      <c r="I6" s="29">
        <v>1</v>
      </c>
      <c r="J6" s="47" t="s">
        <v>52</v>
      </c>
      <c r="K6" s="58" t="s">
        <v>85</v>
      </c>
      <c r="L6" s="58" t="s">
        <v>86</v>
      </c>
      <c r="M6" s="57" t="s">
        <v>33</v>
      </c>
      <c r="N6" s="57" t="s">
        <v>34</v>
      </c>
      <c r="O6" s="61" t="s">
        <v>57</v>
      </c>
      <c r="P6" s="59" t="s">
        <v>58</v>
      </c>
      <c r="Q6" s="74"/>
      <c r="R6" s="74"/>
      <c r="S6" s="29"/>
    </row>
    <row r="7" s="1" customFormat="1" ht="27" spans="1:19">
      <c r="A7" s="34" t="s">
        <v>100</v>
      </c>
      <c r="B7" s="47" t="s">
        <v>101</v>
      </c>
      <c r="C7" s="47" t="s">
        <v>102</v>
      </c>
      <c r="D7" s="47" t="s">
        <v>103</v>
      </c>
      <c r="E7" s="47" t="s">
        <v>104</v>
      </c>
      <c r="F7" s="47">
        <v>2</v>
      </c>
      <c r="G7" s="47" t="s">
        <v>29</v>
      </c>
      <c r="H7" s="47">
        <v>12</v>
      </c>
      <c r="I7" s="47">
        <v>2</v>
      </c>
      <c r="J7" s="47" t="s">
        <v>30</v>
      </c>
      <c r="K7" s="65" t="s">
        <v>105</v>
      </c>
      <c r="L7" s="65" t="s">
        <v>106</v>
      </c>
      <c r="M7" s="57" t="s">
        <v>33</v>
      </c>
      <c r="N7" s="29" t="s">
        <v>107</v>
      </c>
      <c r="O7" s="34" t="s">
        <v>57</v>
      </c>
      <c r="P7" s="51" t="s">
        <v>108</v>
      </c>
      <c r="Q7" s="74"/>
      <c r="R7" s="74"/>
      <c r="S7" s="29"/>
    </row>
    <row r="8" s="1" customFormat="1" ht="27" spans="1:19">
      <c r="A8" s="34" t="s">
        <v>100</v>
      </c>
      <c r="B8" s="47" t="s">
        <v>101</v>
      </c>
      <c r="C8" s="47" t="s">
        <v>102</v>
      </c>
      <c r="D8" s="47" t="s">
        <v>103</v>
      </c>
      <c r="E8" s="47" t="s">
        <v>104</v>
      </c>
      <c r="F8" s="47">
        <v>2</v>
      </c>
      <c r="G8" s="47" t="s">
        <v>29</v>
      </c>
      <c r="H8" s="47">
        <v>12</v>
      </c>
      <c r="I8" s="47">
        <v>2</v>
      </c>
      <c r="J8" s="47" t="s">
        <v>30</v>
      </c>
      <c r="K8" s="65" t="s">
        <v>109</v>
      </c>
      <c r="L8" s="65" t="s">
        <v>110</v>
      </c>
      <c r="M8" s="29" t="s">
        <v>33</v>
      </c>
      <c r="N8" s="29" t="s">
        <v>107</v>
      </c>
      <c r="O8" s="34" t="s">
        <v>57</v>
      </c>
      <c r="P8" s="51" t="s">
        <v>108</v>
      </c>
      <c r="Q8" s="74"/>
      <c r="R8" s="74"/>
      <c r="S8" s="29"/>
    </row>
    <row r="9" s="1" customFormat="1" ht="63.75" spans="1:19">
      <c r="A9" s="47" t="s">
        <v>122</v>
      </c>
      <c r="B9" s="47" t="s">
        <v>101</v>
      </c>
      <c r="C9" s="47" t="s">
        <v>123</v>
      </c>
      <c r="D9" s="47" t="s">
        <v>124</v>
      </c>
      <c r="E9" s="47" t="s">
        <v>125</v>
      </c>
      <c r="F9" s="47">
        <v>4</v>
      </c>
      <c r="G9" s="47" t="s">
        <v>78</v>
      </c>
      <c r="H9" s="47">
        <v>18</v>
      </c>
      <c r="I9" s="47">
        <v>4</v>
      </c>
      <c r="J9" s="47" t="s">
        <v>52</v>
      </c>
      <c r="K9" s="66" t="s">
        <v>126</v>
      </c>
      <c r="L9" s="66" t="s">
        <v>127</v>
      </c>
      <c r="M9" s="57" t="s">
        <v>128</v>
      </c>
      <c r="N9" s="57" t="s">
        <v>129</v>
      </c>
      <c r="O9" s="67" t="s">
        <v>57</v>
      </c>
      <c r="P9" s="67" t="s">
        <v>130</v>
      </c>
      <c r="Q9" s="74"/>
      <c r="R9" s="74"/>
      <c r="S9" s="29"/>
    </row>
    <row r="10" s="1" customFormat="1" ht="27" spans="1:19">
      <c r="A10" s="47" t="s">
        <v>122</v>
      </c>
      <c r="B10" s="47" t="s">
        <v>101</v>
      </c>
      <c r="C10" s="47" t="s">
        <v>123</v>
      </c>
      <c r="D10" s="47" t="s">
        <v>124</v>
      </c>
      <c r="E10" s="47" t="s">
        <v>125</v>
      </c>
      <c r="F10" s="47">
        <v>4</v>
      </c>
      <c r="G10" s="47" t="s">
        <v>78</v>
      </c>
      <c r="H10" s="47">
        <v>18</v>
      </c>
      <c r="I10" s="47">
        <v>4</v>
      </c>
      <c r="J10" s="47" t="s">
        <v>52</v>
      </c>
      <c r="K10" s="66" t="s">
        <v>132</v>
      </c>
      <c r="L10" s="66" t="s">
        <v>132</v>
      </c>
      <c r="M10" s="57" t="s">
        <v>128</v>
      </c>
      <c r="N10" s="57" t="s">
        <v>129</v>
      </c>
      <c r="O10" s="67" t="s">
        <v>57</v>
      </c>
      <c r="P10" s="67" t="s">
        <v>130</v>
      </c>
      <c r="Q10" s="74"/>
      <c r="R10" s="74"/>
      <c r="S10" s="29"/>
    </row>
    <row r="11" s="1" customFormat="1" ht="27" spans="1:19">
      <c r="A11" s="47" t="s">
        <v>122</v>
      </c>
      <c r="B11" s="47" t="s">
        <v>101</v>
      </c>
      <c r="C11" s="47" t="s">
        <v>123</v>
      </c>
      <c r="D11" s="47" t="s">
        <v>124</v>
      </c>
      <c r="E11" s="47" t="s">
        <v>125</v>
      </c>
      <c r="F11" s="47">
        <v>4</v>
      </c>
      <c r="G11" s="47" t="s">
        <v>78</v>
      </c>
      <c r="H11" s="47">
        <v>18</v>
      </c>
      <c r="I11" s="47">
        <v>4</v>
      </c>
      <c r="J11" s="47" t="s">
        <v>52</v>
      </c>
      <c r="K11" s="66" t="s">
        <v>133</v>
      </c>
      <c r="L11" s="66" t="s">
        <v>133</v>
      </c>
      <c r="M11" s="57" t="s">
        <v>128</v>
      </c>
      <c r="N11" s="57" t="s">
        <v>129</v>
      </c>
      <c r="O11" s="67" t="s">
        <v>57</v>
      </c>
      <c r="P11" s="67" t="s">
        <v>130</v>
      </c>
      <c r="Q11" s="74"/>
      <c r="R11" s="74"/>
      <c r="S11" s="29"/>
    </row>
    <row r="12" s="1" customFormat="1" ht="67.5" spans="1:19">
      <c r="A12" s="49" t="s">
        <v>166</v>
      </c>
      <c r="B12" s="50" t="s">
        <v>101</v>
      </c>
      <c r="C12" s="50" t="s">
        <v>176</v>
      </c>
      <c r="D12" s="50" t="s">
        <v>177</v>
      </c>
      <c r="E12" s="50" t="s">
        <v>178</v>
      </c>
      <c r="F12" s="50">
        <v>4</v>
      </c>
      <c r="G12" s="50" t="s">
        <v>179</v>
      </c>
      <c r="H12" s="50">
        <v>4</v>
      </c>
      <c r="I12" s="50">
        <v>4</v>
      </c>
      <c r="J12" s="49" t="s">
        <v>180</v>
      </c>
      <c r="K12" s="69" t="s">
        <v>183</v>
      </c>
      <c r="L12" s="69" t="s">
        <v>184</v>
      </c>
      <c r="M12" s="29" t="s">
        <v>33</v>
      </c>
      <c r="N12" s="29" t="s">
        <v>107</v>
      </c>
      <c r="O12" s="71" t="s">
        <v>57</v>
      </c>
      <c r="P12" s="72" t="s">
        <v>146</v>
      </c>
      <c r="Q12" s="75"/>
      <c r="R12" s="74"/>
      <c r="S12" s="29"/>
    </row>
    <row r="13" s="1" customFormat="1" ht="27" spans="1:19">
      <c r="A13" s="67" t="s">
        <v>265</v>
      </c>
      <c r="B13" s="49" t="s">
        <v>101</v>
      </c>
      <c r="C13" s="50" t="s">
        <v>272</v>
      </c>
      <c r="D13" s="50" t="s">
        <v>273</v>
      </c>
      <c r="E13" s="50" t="s">
        <v>274</v>
      </c>
      <c r="F13" s="50">
        <v>2</v>
      </c>
      <c r="G13" s="50" t="s">
        <v>275</v>
      </c>
      <c r="H13" s="50">
        <v>12</v>
      </c>
      <c r="I13" s="50">
        <v>2</v>
      </c>
      <c r="J13" s="49" t="s">
        <v>52</v>
      </c>
      <c r="K13" s="66" t="s">
        <v>276</v>
      </c>
      <c r="L13" s="66" t="s">
        <v>277</v>
      </c>
      <c r="M13" s="29" t="s">
        <v>278</v>
      </c>
      <c r="N13" s="45" t="s">
        <v>279</v>
      </c>
      <c r="O13" s="47" t="s">
        <v>57</v>
      </c>
      <c r="P13" s="51" t="s">
        <v>146</v>
      </c>
      <c r="Q13" s="74"/>
      <c r="R13" s="74"/>
      <c r="S13" s="29"/>
    </row>
    <row r="14" s="1" customFormat="1" spans="1:19">
      <c r="A14" s="67" t="s">
        <v>265</v>
      </c>
      <c r="B14" s="49" t="s">
        <v>101</v>
      </c>
      <c r="C14" s="42" t="s">
        <v>272</v>
      </c>
      <c r="D14" s="42" t="s">
        <v>282</v>
      </c>
      <c r="E14" s="42" t="s">
        <v>283</v>
      </c>
      <c r="F14" s="42">
        <v>2</v>
      </c>
      <c r="G14" s="42">
        <v>2024.8</v>
      </c>
      <c r="H14" s="42">
        <v>28</v>
      </c>
      <c r="I14" s="42">
        <v>2</v>
      </c>
      <c r="J14" s="49" t="s">
        <v>52</v>
      </c>
      <c r="K14" s="65" t="s">
        <v>284</v>
      </c>
      <c r="L14" s="65" t="s">
        <v>285</v>
      </c>
      <c r="M14" s="29" t="s">
        <v>33</v>
      </c>
      <c r="N14" s="45" t="s">
        <v>286</v>
      </c>
      <c r="O14" s="47" t="s">
        <v>57</v>
      </c>
      <c r="P14" s="51" t="s">
        <v>146</v>
      </c>
      <c r="Q14" s="74"/>
      <c r="R14" s="74"/>
      <c r="S14" s="29"/>
    </row>
    <row r="15" s="2" customFormat="1" ht="108" spans="1:19">
      <c r="A15" s="14" t="s">
        <v>47</v>
      </c>
      <c r="B15" s="14" t="s">
        <v>25</v>
      </c>
      <c r="C15" s="14" t="s">
        <v>48</v>
      </c>
      <c r="D15" s="15" t="s">
        <v>447</v>
      </c>
      <c r="E15" s="15" t="s">
        <v>448</v>
      </c>
      <c r="F15" s="15">
        <v>1</v>
      </c>
      <c r="G15" s="15">
        <v>2025.1</v>
      </c>
      <c r="H15" s="15">
        <v>1</v>
      </c>
      <c r="I15" s="15">
        <v>1</v>
      </c>
      <c r="J15" s="21" t="s">
        <v>449</v>
      </c>
      <c r="K15" s="87" t="s">
        <v>450</v>
      </c>
      <c r="L15" s="87" t="s">
        <v>451</v>
      </c>
      <c r="M15" s="87" t="s">
        <v>33</v>
      </c>
      <c r="N15" s="89" t="s">
        <v>107</v>
      </c>
      <c r="O15" s="24" t="s">
        <v>365</v>
      </c>
      <c r="P15" s="24"/>
      <c r="Q15" s="27"/>
      <c r="R15" s="27"/>
      <c r="S15" s="28"/>
    </row>
    <row r="16" s="2" customFormat="1" ht="27" spans="1:19">
      <c r="A16" s="14" t="s">
        <v>47</v>
      </c>
      <c r="B16" s="14" t="s">
        <v>25</v>
      </c>
      <c r="C16" s="14" t="s">
        <v>48</v>
      </c>
      <c r="D16" s="15" t="s">
        <v>447</v>
      </c>
      <c r="E16" s="15" t="s">
        <v>448</v>
      </c>
      <c r="F16" s="15">
        <v>1</v>
      </c>
      <c r="G16" s="15">
        <v>2025.1</v>
      </c>
      <c r="H16" s="15">
        <v>1</v>
      </c>
      <c r="I16" s="15">
        <v>1</v>
      </c>
      <c r="J16" s="21" t="s">
        <v>449</v>
      </c>
      <c r="K16" s="87" t="s">
        <v>452</v>
      </c>
      <c r="L16" s="87" t="s">
        <v>453</v>
      </c>
      <c r="M16" s="87" t="s">
        <v>33</v>
      </c>
      <c r="N16" s="89" t="s">
        <v>107</v>
      </c>
      <c r="O16" s="24" t="s">
        <v>365</v>
      </c>
      <c r="P16" s="24"/>
      <c r="Q16" s="27"/>
      <c r="R16" s="27"/>
      <c r="S16" s="28"/>
    </row>
    <row r="17" s="2" customFormat="1" ht="27" spans="1:19">
      <c r="A17" s="31" t="s">
        <v>265</v>
      </c>
      <c r="B17" s="30" t="s">
        <v>101</v>
      </c>
      <c r="C17" s="30" t="s">
        <v>123</v>
      </c>
      <c r="D17" s="30" t="s">
        <v>124</v>
      </c>
      <c r="E17" s="30" t="s">
        <v>125</v>
      </c>
      <c r="F17" s="30">
        <v>4</v>
      </c>
      <c r="G17" s="30" t="s">
        <v>78</v>
      </c>
      <c r="H17" s="30">
        <v>18</v>
      </c>
      <c r="I17" s="30">
        <v>4</v>
      </c>
      <c r="J17" s="30" t="s">
        <v>52</v>
      </c>
      <c r="K17" s="87" t="s">
        <v>454</v>
      </c>
      <c r="L17" s="87" t="s">
        <v>455</v>
      </c>
      <c r="M17" s="28" t="s">
        <v>33</v>
      </c>
      <c r="N17" s="28" t="s">
        <v>107</v>
      </c>
      <c r="O17" s="30" t="s">
        <v>365</v>
      </c>
      <c r="P17" s="31" t="s">
        <v>386</v>
      </c>
      <c r="Q17" s="27"/>
      <c r="R17" s="27"/>
      <c r="S17" s="28"/>
    </row>
    <row r="18" s="2" customFormat="1" ht="27" spans="1:19">
      <c r="A18" s="30" t="s">
        <v>24</v>
      </c>
      <c r="B18" s="47" t="s">
        <v>101</v>
      </c>
      <c r="C18" s="47" t="s">
        <v>400</v>
      </c>
      <c r="D18" s="47" t="s">
        <v>401</v>
      </c>
      <c r="E18" s="47" t="s">
        <v>402</v>
      </c>
      <c r="F18" s="47">
        <v>77</v>
      </c>
      <c r="G18" s="47">
        <v>2024.9</v>
      </c>
      <c r="H18" s="47">
        <v>22</v>
      </c>
      <c r="I18" s="47">
        <v>77</v>
      </c>
      <c r="J18" s="47" t="s">
        <v>30</v>
      </c>
      <c r="K18" s="100" t="s">
        <v>456</v>
      </c>
      <c r="L18" s="101" t="s">
        <v>457</v>
      </c>
      <c r="M18" s="74" t="s">
        <v>33</v>
      </c>
      <c r="N18" s="57" t="s">
        <v>107</v>
      </c>
      <c r="O18" s="24" t="s">
        <v>405</v>
      </c>
      <c r="P18" s="24" t="s">
        <v>372</v>
      </c>
      <c r="Q18" s="24"/>
      <c r="R18" s="24"/>
      <c r="S18" s="24"/>
    </row>
    <row r="19" s="2" customFormat="1" ht="27" spans="1:19">
      <c r="A19" s="30" t="s">
        <v>24</v>
      </c>
      <c r="B19" s="47" t="s">
        <v>101</v>
      </c>
      <c r="C19" s="47" t="s">
        <v>400</v>
      </c>
      <c r="D19" s="47" t="s">
        <v>401</v>
      </c>
      <c r="E19" s="47" t="s">
        <v>402</v>
      </c>
      <c r="F19" s="47">
        <v>77</v>
      </c>
      <c r="G19" s="47">
        <v>2024.9</v>
      </c>
      <c r="H19" s="47">
        <v>22</v>
      </c>
      <c r="I19" s="47">
        <v>77</v>
      </c>
      <c r="J19" s="47" t="s">
        <v>30</v>
      </c>
      <c r="K19" s="100" t="s">
        <v>458</v>
      </c>
      <c r="L19" s="101" t="s">
        <v>459</v>
      </c>
      <c r="M19" s="74" t="s">
        <v>33</v>
      </c>
      <c r="N19" s="57" t="s">
        <v>107</v>
      </c>
      <c r="O19" s="24" t="s">
        <v>405</v>
      </c>
      <c r="P19" s="24" t="s">
        <v>372</v>
      </c>
      <c r="Q19" s="24"/>
      <c r="R19" s="24"/>
      <c r="S19" s="24"/>
    </row>
    <row r="20" s="2" customFormat="1" ht="28.5" spans="1:19">
      <c r="A20" s="14" t="s">
        <v>47</v>
      </c>
      <c r="B20" s="14" t="s">
        <v>25</v>
      </c>
      <c r="C20" s="14" t="s">
        <v>48</v>
      </c>
      <c r="D20" s="21" t="s">
        <v>460</v>
      </c>
      <c r="E20" s="15" t="s">
        <v>461</v>
      </c>
      <c r="F20" s="15">
        <v>1</v>
      </c>
      <c r="G20" s="15">
        <v>2025.2</v>
      </c>
      <c r="H20" s="15">
        <v>27</v>
      </c>
      <c r="I20" s="15">
        <v>1</v>
      </c>
      <c r="J20" s="21" t="s">
        <v>52</v>
      </c>
      <c r="K20" s="56" t="s">
        <v>462</v>
      </c>
      <c r="L20" s="56" t="s">
        <v>463</v>
      </c>
      <c r="M20" s="47" t="s">
        <v>33</v>
      </c>
      <c r="N20" s="47" t="s">
        <v>107</v>
      </c>
      <c r="O20" s="24" t="s">
        <v>365</v>
      </c>
      <c r="P20" s="24" t="s">
        <v>372</v>
      </c>
      <c r="Q20" s="74"/>
      <c r="R20" s="74"/>
      <c r="S20" s="29"/>
    </row>
    <row r="21" ht="27" spans="1:19">
      <c r="A21" s="14" t="s">
        <v>47</v>
      </c>
      <c r="B21" s="14" t="s">
        <v>25</v>
      </c>
      <c r="C21" s="14" t="s">
        <v>48</v>
      </c>
      <c r="D21" s="94" t="s">
        <v>464</v>
      </c>
      <c r="E21" s="94" t="s">
        <v>465</v>
      </c>
      <c r="F21" s="94">
        <v>1</v>
      </c>
      <c r="G21" s="94">
        <v>2025.3</v>
      </c>
      <c r="H21" s="94">
        <v>4</v>
      </c>
      <c r="I21" s="94">
        <v>1</v>
      </c>
      <c r="J21" s="21" t="s">
        <v>52</v>
      </c>
      <c r="K21" s="56" t="s">
        <v>466</v>
      </c>
      <c r="L21" s="56" t="s">
        <v>467</v>
      </c>
      <c r="M21" s="47" t="s">
        <v>33</v>
      </c>
      <c r="N21" s="47" t="s">
        <v>107</v>
      </c>
      <c r="O21" s="24" t="s">
        <v>365</v>
      </c>
      <c r="P21" s="24" t="s">
        <v>372</v>
      </c>
      <c r="Q21" s="74"/>
      <c r="R21" s="74"/>
      <c r="S21" s="29"/>
    </row>
    <row r="22" ht="54" spans="1:19">
      <c r="A22" s="14" t="s">
        <v>47</v>
      </c>
      <c r="B22" s="14" t="s">
        <v>25</v>
      </c>
      <c r="C22" s="14" t="s">
        <v>48</v>
      </c>
      <c r="D22" s="15" t="s">
        <v>447</v>
      </c>
      <c r="E22" s="15" t="s">
        <v>468</v>
      </c>
      <c r="F22" s="15">
        <v>1</v>
      </c>
      <c r="G22" s="15">
        <v>2025.3</v>
      </c>
      <c r="H22" s="15">
        <v>21</v>
      </c>
      <c r="I22" s="15">
        <v>1</v>
      </c>
      <c r="J22" s="21" t="s">
        <v>52</v>
      </c>
      <c r="K22" s="56" t="s">
        <v>469</v>
      </c>
      <c r="L22" s="56" t="s">
        <v>470</v>
      </c>
      <c r="M22" s="47" t="s">
        <v>33</v>
      </c>
      <c r="N22" s="47" t="s">
        <v>107</v>
      </c>
      <c r="O22" s="24" t="s">
        <v>365</v>
      </c>
      <c r="P22" s="24" t="s">
        <v>372</v>
      </c>
      <c r="Q22" s="74"/>
      <c r="R22" s="74"/>
      <c r="S22" s="29"/>
    </row>
    <row r="23" ht="40.5" spans="1:19">
      <c r="A23" s="14" t="s">
        <v>47</v>
      </c>
      <c r="B23" s="14" t="s">
        <v>25</v>
      </c>
      <c r="C23" s="14" t="s">
        <v>48</v>
      </c>
      <c r="D23" s="15" t="s">
        <v>447</v>
      </c>
      <c r="E23" s="15" t="s">
        <v>468</v>
      </c>
      <c r="F23" s="15">
        <v>1</v>
      </c>
      <c r="G23" s="15">
        <v>2025.3</v>
      </c>
      <c r="H23" s="15">
        <v>21</v>
      </c>
      <c r="I23" s="15">
        <v>1</v>
      </c>
      <c r="J23" s="21" t="s">
        <v>52</v>
      </c>
      <c r="K23" s="56" t="s">
        <v>471</v>
      </c>
      <c r="L23" s="56" t="s">
        <v>472</v>
      </c>
      <c r="M23" s="47" t="s">
        <v>33</v>
      </c>
      <c r="N23" s="47" t="s">
        <v>107</v>
      </c>
      <c r="O23" s="24" t="s">
        <v>365</v>
      </c>
      <c r="P23" s="24" t="s">
        <v>372</v>
      </c>
      <c r="Q23" s="74"/>
      <c r="R23" s="74"/>
      <c r="S23" s="29"/>
    </row>
    <row r="24" ht="27" spans="1:19">
      <c r="A24" s="14" t="s">
        <v>47</v>
      </c>
      <c r="B24" s="14" t="s">
        <v>25</v>
      </c>
      <c r="C24" s="14" t="s">
        <v>48</v>
      </c>
      <c r="D24" s="15" t="s">
        <v>447</v>
      </c>
      <c r="E24" s="15" t="s">
        <v>468</v>
      </c>
      <c r="F24" s="15">
        <v>1</v>
      </c>
      <c r="G24" s="15">
        <v>2025.3</v>
      </c>
      <c r="H24" s="15">
        <v>21</v>
      </c>
      <c r="I24" s="15">
        <v>1</v>
      </c>
      <c r="J24" s="21" t="s">
        <v>52</v>
      </c>
      <c r="K24" s="56" t="s">
        <v>473</v>
      </c>
      <c r="L24" s="56" t="s">
        <v>474</v>
      </c>
      <c r="M24" s="47" t="s">
        <v>33</v>
      </c>
      <c r="N24" s="47" t="s">
        <v>107</v>
      </c>
      <c r="O24" s="24" t="s">
        <v>365</v>
      </c>
      <c r="P24" s="24" t="s">
        <v>372</v>
      </c>
      <c r="Q24" s="74"/>
      <c r="R24" s="74"/>
      <c r="S24" s="29"/>
    </row>
    <row r="25" ht="40.5" spans="1:19">
      <c r="A25" s="14" t="s">
        <v>47</v>
      </c>
      <c r="B25" s="14" t="s">
        <v>25</v>
      </c>
      <c r="C25" s="14" t="s">
        <v>48</v>
      </c>
      <c r="D25" s="15" t="s">
        <v>447</v>
      </c>
      <c r="E25" s="15" t="s">
        <v>468</v>
      </c>
      <c r="F25" s="15">
        <v>1</v>
      </c>
      <c r="G25" s="15">
        <v>2025.3</v>
      </c>
      <c r="H25" s="15">
        <v>21</v>
      </c>
      <c r="I25" s="15">
        <v>1</v>
      </c>
      <c r="J25" s="21" t="s">
        <v>52</v>
      </c>
      <c r="K25" s="56" t="s">
        <v>475</v>
      </c>
      <c r="L25" s="56" t="s">
        <v>476</v>
      </c>
      <c r="M25" s="47" t="s">
        <v>33</v>
      </c>
      <c r="N25" s="47" t="s">
        <v>107</v>
      </c>
      <c r="O25" s="24" t="s">
        <v>365</v>
      </c>
      <c r="P25" s="24" t="s">
        <v>372</v>
      </c>
      <c r="Q25" s="74"/>
      <c r="R25" s="74"/>
      <c r="S25" s="29"/>
    </row>
    <row r="26" ht="27" spans="1:19">
      <c r="A26" s="95" t="s">
        <v>100</v>
      </c>
      <c r="B26" s="47" t="s">
        <v>101</v>
      </c>
      <c r="C26" s="47" t="s">
        <v>102</v>
      </c>
      <c r="D26" s="47" t="s">
        <v>103</v>
      </c>
      <c r="E26" s="47" t="s">
        <v>477</v>
      </c>
      <c r="F26" s="47">
        <v>4</v>
      </c>
      <c r="G26" s="47">
        <v>2024.12</v>
      </c>
      <c r="H26" s="47">
        <v>30</v>
      </c>
      <c r="I26" s="47">
        <v>4</v>
      </c>
      <c r="J26" s="103" t="s">
        <v>170</v>
      </c>
      <c r="K26" s="56" t="s">
        <v>478</v>
      </c>
      <c r="L26" s="56" t="s">
        <v>479</v>
      </c>
      <c r="M26" s="56" t="s">
        <v>33</v>
      </c>
      <c r="N26" s="29" t="s">
        <v>107</v>
      </c>
      <c r="O26" s="24" t="s">
        <v>411</v>
      </c>
      <c r="P26" s="24" t="s">
        <v>372</v>
      </c>
      <c r="Q26" s="74"/>
      <c r="R26" s="24" t="s">
        <v>372</v>
      </c>
      <c r="S26" s="29"/>
    </row>
    <row r="27" ht="27" spans="1:19">
      <c r="A27" s="95" t="s">
        <v>100</v>
      </c>
      <c r="B27" s="47" t="s">
        <v>101</v>
      </c>
      <c r="C27" s="47" t="s">
        <v>102</v>
      </c>
      <c r="D27" s="47" t="s">
        <v>103</v>
      </c>
      <c r="E27" s="47" t="s">
        <v>477</v>
      </c>
      <c r="F27" s="47">
        <v>4</v>
      </c>
      <c r="G27" s="47">
        <v>2024.12</v>
      </c>
      <c r="H27" s="47">
        <v>30</v>
      </c>
      <c r="I27" s="47">
        <v>4</v>
      </c>
      <c r="J27" s="103" t="s">
        <v>170</v>
      </c>
      <c r="K27" s="56" t="s">
        <v>480</v>
      </c>
      <c r="L27" s="56" t="s">
        <v>481</v>
      </c>
      <c r="M27" s="56" t="s">
        <v>33</v>
      </c>
      <c r="N27" s="29" t="s">
        <v>34</v>
      </c>
      <c r="O27" s="24" t="s">
        <v>411</v>
      </c>
      <c r="P27" s="24" t="s">
        <v>372</v>
      </c>
      <c r="Q27" s="74"/>
      <c r="R27" s="24" t="s">
        <v>372</v>
      </c>
      <c r="S27" s="29"/>
    </row>
    <row r="28" ht="40.5" spans="1:19">
      <c r="A28" s="30" t="s">
        <v>189</v>
      </c>
      <c r="B28" s="30" t="s">
        <v>25</v>
      </c>
      <c r="C28" s="30" t="s">
        <v>415</v>
      </c>
      <c r="D28" s="30" t="s">
        <v>416</v>
      </c>
      <c r="E28" s="30" t="s">
        <v>417</v>
      </c>
      <c r="F28" s="30">
        <v>1</v>
      </c>
      <c r="G28" s="30">
        <v>2023.12</v>
      </c>
      <c r="H28" s="30">
        <v>5</v>
      </c>
      <c r="I28" s="30">
        <v>1</v>
      </c>
      <c r="J28" s="30"/>
      <c r="K28" s="56" t="s">
        <v>482</v>
      </c>
      <c r="L28" s="56" t="s">
        <v>483</v>
      </c>
      <c r="M28" s="56" t="s">
        <v>33</v>
      </c>
      <c r="N28" s="56" t="s">
        <v>107</v>
      </c>
      <c r="O28" s="31" t="s">
        <v>411</v>
      </c>
      <c r="P28" s="31" t="s">
        <v>372</v>
      </c>
      <c r="Q28" s="74"/>
      <c r="R28" s="74"/>
      <c r="S28" s="29"/>
    </row>
    <row r="29" ht="27" spans="1:19">
      <c r="A29" s="30" t="s">
        <v>265</v>
      </c>
      <c r="B29" s="30" t="s">
        <v>101</v>
      </c>
      <c r="C29" s="30" t="s">
        <v>266</v>
      </c>
      <c r="D29" s="30" t="s">
        <v>267</v>
      </c>
      <c r="E29" s="30" t="s">
        <v>268</v>
      </c>
      <c r="F29" s="30">
        <v>2</v>
      </c>
      <c r="G29" s="30">
        <v>2024.7</v>
      </c>
      <c r="H29" s="30">
        <v>30</v>
      </c>
      <c r="I29" s="30">
        <v>2</v>
      </c>
      <c r="J29" s="30" t="s">
        <v>52</v>
      </c>
      <c r="K29" s="56" t="s">
        <v>269</v>
      </c>
      <c r="L29" s="56" t="s">
        <v>270</v>
      </c>
      <c r="M29" s="56" t="s">
        <v>33</v>
      </c>
      <c r="N29" s="56" t="s">
        <v>34</v>
      </c>
      <c r="O29" s="31" t="s">
        <v>484</v>
      </c>
      <c r="P29" s="31" t="s">
        <v>372</v>
      </c>
      <c r="Q29" s="74"/>
      <c r="R29" s="74"/>
      <c r="S29" s="29"/>
    </row>
    <row r="30" ht="27" spans="1:19">
      <c r="A30" s="30" t="s">
        <v>265</v>
      </c>
      <c r="B30" s="30" t="s">
        <v>101</v>
      </c>
      <c r="C30" s="30" t="s">
        <v>266</v>
      </c>
      <c r="D30" s="30" t="s">
        <v>267</v>
      </c>
      <c r="E30" s="30" t="s">
        <v>268</v>
      </c>
      <c r="F30" s="30">
        <v>2</v>
      </c>
      <c r="G30" s="30">
        <v>2024.7</v>
      </c>
      <c r="H30" s="30">
        <v>30</v>
      </c>
      <c r="I30" s="30">
        <v>2</v>
      </c>
      <c r="J30" s="30" t="s">
        <v>52</v>
      </c>
      <c r="K30" s="56" t="s">
        <v>485</v>
      </c>
      <c r="L30" s="56" t="s">
        <v>486</v>
      </c>
      <c r="M30" s="56" t="s">
        <v>33</v>
      </c>
      <c r="N30" s="56" t="s">
        <v>34</v>
      </c>
      <c r="O30" s="31" t="s">
        <v>484</v>
      </c>
      <c r="P30" s="31" t="s">
        <v>372</v>
      </c>
      <c r="Q30" s="74"/>
      <c r="R30" s="74"/>
      <c r="S30" s="29"/>
    </row>
    <row r="31" ht="40.5" spans="1:19">
      <c r="A31" s="94" t="s">
        <v>287</v>
      </c>
      <c r="B31" s="34" t="s">
        <v>101</v>
      </c>
      <c r="C31" s="34" t="s">
        <v>435</v>
      </c>
      <c r="D31" s="34" t="s">
        <v>436</v>
      </c>
      <c r="E31" s="34" t="s">
        <v>389</v>
      </c>
      <c r="F31" s="34">
        <v>11</v>
      </c>
      <c r="G31" s="34">
        <v>2024.11</v>
      </c>
      <c r="H31" s="34">
        <v>22</v>
      </c>
      <c r="I31" s="34">
        <v>11</v>
      </c>
      <c r="J31" s="34" t="s">
        <v>170</v>
      </c>
      <c r="K31" s="56" t="s">
        <v>487</v>
      </c>
      <c r="L31" s="56" t="s">
        <v>488</v>
      </c>
      <c r="M31" s="29" t="s">
        <v>33</v>
      </c>
      <c r="N31" s="29" t="s">
        <v>107</v>
      </c>
      <c r="O31" s="47" t="s">
        <v>411</v>
      </c>
      <c r="P31" s="34" t="s">
        <v>372</v>
      </c>
      <c r="Q31" s="74"/>
      <c r="R31" s="74"/>
      <c r="S31" s="29"/>
    </row>
    <row r="32" ht="27" spans="1:19">
      <c r="A32" s="94" t="s">
        <v>287</v>
      </c>
      <c r="B32" s="30" t="s">
        <v>25</v>
      </c>
      <c r="C32" s="30" t="s">
        <v>489</v>
      </c>
      <c r="D32" s="30" t="s">
        <v>490</v>
      </c>
      <c r="E32" s="30" t="s">
        <v>491</v>
      </c>
      <c r="F32" s="30">
        <v>3</v>
      </c>
      <c r="G32" s="30">
        <v>2024.7</v>
      </c>
      <c r="H32" s="30">
        <v>20</v>
      </c>
      <c r="I32" s="30">
        <v>3</v>
      </c>
      <c r="J32" s="34" t="s">
        <v>170</v>
      </c>
      <c r="K32" s="56" t="s">
        <v>492</v>
      </c>
      <c r="L32" s="56" t="s">
        <v>493</v>
      </c>
      <c r="M32" s="29" t="s">
        <v>33</v>
      </c>
      <c r="N32" s="29" t="s">
        <v>34</v>
      </c>
      <c r="O32" s="47" t="s">
        <v>411</v>
      </c>
      <c r="P32" s="34" t="s">
        <v>372</v>
      </c>
      <c r="Q32" s="74"/>
      <c r="R32" s="74"/>
      <c r="S32" s="29"/>
    </row>
    <row r="33" ht="27" spans="1:19">
      <c r="A33" s="94" t="s">
        <v>287</v>
      </c>
      <c r="B33" s="30" t="s">
        <v>25</v>
      </c>
      <c r="C33" s="30" t="s">
        <v>489</v>
      </c>
      <c r="D33" s="30" t="s">
        <v>490</v>
      </c>
      <c r="E33" s="30" t="s">
        <v>491</v>
      </c>
      <c r="F33" s="30">
        <v>3</v>
      </c>
      <c r="G33" s="30">
        <v>2024.7</v>
      </c>
      <c r="H33" s="30">
        <v>20</v>
      </c>
      <c r="I33" s="30">
        <v>3</v>
      </c>
      <c r="J33" s="34" t="s">
        <v>170</v>
      </c>
      <c r="K33" s="56" t="s">
        <v>494</v>
      </c>
      <c r="L33" s="56" t="s">
        <v>495</v>
      </c>
      <c r="M33" s="29" t="s">
        <v>33</v>
      </c>
      <c r="N33" s="29" t="s">
        <v>286</v>
      </c>
      <c r="O33" s="47" t="s">
        <v>411</v>
      </c>
      <c r="P33" s="34" t="s">
        <v>372</v>
      </c>
      <c r="Q33" s="74"/>
      <c r="R33" s="74"/>
      <c r="S33" s="29"/>
    </row>
    <row r="34" ht="27" spans="1:19">
      <c r="A34" s="94" t="s">
        <v>287</v>
      </c>
      <c r="B34" s="30" t="s">
        <v>25</v>
      </c>
      <c r="C34" s="30" t="s">
        <v>489</v>
      </c>
      <c r="D34" s="30" t="s">
        <v>490</v>
      </c>
      <c r="E34" s="30" t="s">
        <v>491</v>
      </c>
      <c r="F34" s="30">
        <v>3</v>
      </c>
      <c r="G34" s="30">
        <v>2024.7</v>
      </c>
      <c r="H34" s="30">
        <v>20</v>
      </c>
      <c r="I34" s="30">
        <v>3</v>
      </c>
      <c r="J34" s="34" t="s">
        <v>170</v>
      </c>
      <c r="K34" s="56" t="s">
        <v>496</v>
      </c>
      <c r="L34" s="56" t="s">
        <v>497</v>
      </c>
      <c r="M34" s="29" t="s">
        <v>33</v>
      </c>
      <c r="N34" s="29" t="s">
        <v>107</v>
      </c>
      <c r="O34" s="47" t="s">
        <v>411</v>
      </c>
      <c r="P34" s="34" t="s">
        <v>372</v>
      </c>
      <c r="Q34" s="74"/>
      <c r="R34" s="74"/>
      <c r="S34" s="29"/>
    </row>
    <row r="35" ht="27" spans="1:19">
      <c r="A35" s="34" t="s">
        <v>439</v>
      </c>
      <c r="B35" s="34" t="s">
        <v>101</v>
      </c>
      <c r="C35" s="34" t="s">
        <v>440</v>
      </c>
      <c r="D35" s="34" t="s">
        <v>441</v>
      </c>
      <c r="E35" s="34" t="s">
        <v>442</v>
      </c>
      <c r="F35" s="34">
        <v>11</v>
      </c>
      <c r="G35" s="34">
        <v>2025.2</v>
      </c>
      <c r="H35" s="34">
        <v>22</v>
      </c>
      <c r="I35" s="34">
        <v>11</v>
      </c>
      <c r="J35" s="34" t="s">
        <v>443</v>
      </c>
      <c r="K35" s="56" t="s">
        <v>498</v>
      </c>
      <c r="L35" s="56" t="s">
        <v>499</v>
      </c>
      <c r="M35" s="29" t="s">
        <v>33</v>
      </c>
      <c r="N35" s="29" t="s">
        <v>34</v>
      </c>
      <c r="O35" s="34" t="s">
        <v>411</v>
      </c>
      <c r="P35" s="34" t="s">
        <v>372</v>
      </c>
      <c r="Q35" s="74"/>
      <c r="R35" s="74"/>
      <c r="S35" s="29"/>
    </row>
    <row r="36" ht="27" spans="1:19">
      <c r="A36" s="34" t="s">
        <v>439</v>
      </c>
      <c r="B36" s="34" t="s">
        <v>101</v>
      </c>
      <c r="C36" s="34" t="s">
        <v>440</v>
      </c>
      <c r="D36" s="34" t="s">
        <v>441</v>
      </c>
      <c r="E36" s="34" t="s">
        <v>442</v>
      </c>
      <c r="F36" s="34">
        <v>11</v>
      </c>
      <c r="G36" s="34">
        <v>2025.2</v>
      </c>
      <c r="H36" s="34">
        <v>22</v>
      </c>
      <c r="I36" s="34">
        <v>11</v>
      </c>
      <c r="J36" s="34" t="s">
        <v>443</v>
      </c>
      <c r="K36" s="56" t="s">
        <v>500</v>
      </c>
      <c r="L36" s="56" t="s">
        <v>501</v>
      </c>
      <c r="M36" s="29" t="s">
        <v>33</v>
      </c>
      <c r="N36" s="29" t="s">
        <v>34</v>
      </c>
      <c r="O36" s="34" t="s">
        <v>411</v>
      </c>
      <c r="P36" s="34" t="s">
        <v>372</v>
      </c>
      <c r="Q36" s="74"/>
      <c r="R36" s="74"/>
      <c r="S36" s="29"/>
    </row>
    <row r="37" ht="40.5" spans="1:19">
      <c r="A37" s="34" t="s">
        <v>439</v>
      </c>
      <c r="B37" s="34" t="s">
        <v>101</v>
      </c>
      <c r="C37" s="34" t="s">
        <v>440</v>
      </c>
      <c r="D37" s="34" t="s">
        <v>441</v>
      </c>
      <c r="E37" s="34" t="s">
        <v>442</v>
      </c>
      <c r="F37" s="34">
        <v>11</v>
      </c>
      <c r="G37" s="34">
        <v>2025.2</v>
      </c>
      <c r="H37" s="34">
        <v>22</v>
      </c>
      <c r="I37" s="34">
        <v>11</v>
      </c>
      <c r="J37" s="34" t="s">
        <v>443</v>
      </c>
      <c r="K37" s="56" t="s">
        <v>502</v>
      </c>
      <c r="L37" s="56" t="s">
        <v>503</v>
      </c>
      <c r="M37" s="29" t="s">
        <v>33</v>
      </c>
      <c r="N37" s="29" t="s">
        <v>34</v>
      </c>
      <c r="O37" s="34" t="s">
        <v>411</v>
      </c>
      <c r="P37" s="34" t="s">
        <v>372</v>
      </c>
      <c r="Q37" s="74"/>
      <c r="R37" s="74"/>
      <c r="S37" s="29"/>
    </row>
    <row r="38" ht="27" spans="1:19">
      <c r="A38" s="34" t="s">
        <v>439</v>
      </c>
      <c r="B38" s="34" t="s">
        <v>101</v>
      </c>
      <c r="C38" s="34" t="s">
        <v>440</v>
      </c>
      <c r="D38" s="34" t="s">
        <v>441</v>
      </c>
      <c r="E38" s="34" t="s">
        <v>442</v>
      </c>
      <c r="F38" s="34">
        <v>11</v>
      </c>
      <c r="G38" s="34">
        <v>2025.2</v>
      </c>
      <c r="H38" s="34">
        <v>22</v>
      </c>
      <c r="I38" s="34">
        <v>11</v>
      </c>
      <c r="J38" s="34" t="s">
        <v>443</v>
      </c>
      <c r="K38" s="56" t="s">
        <v>504</v>
      </c>
      <c r="L38" s="56" t="s">
        <v>505</v>
      </c>
      <c r="M38" s="29" t="s">
        <v>33</v>
      </c>
      <c r="N38" s="29" t="s">
        <v>34</v>
      </c>
      <c r="O38" s="34" t="s">
        <v>411</v>
      </c>
      <c r="P38" s="34" t="s">
        <v>372</v>
      </c>
      <c r="Q38" s="74"/>
      <c r="R38" s="74"/>
      <c r="S38" s="29"/>
    </row>
  </sheetData>
  <mergeCells count="1">
    <mergeCell ref="A1:S1"/>
  </mergeCells>
  <conditionalFormatting sqref="K18:K19">
    <cfRule type="expression" dxfId="1" priority="3">
      <formula>OR($K18="延期",AND(#REF!="严重",$K18=""))</formula>
    </cfRule>
    <cfRule type="expression" dxfId="0" priority="4">
      <formula>$K18="已完成"</formula>
    </cfRule>
  </conditionalFormatting>
  <conditionalFormatting sqref="L18:L19">
    <cfRule type="expression" dxfId="1" priority="1">
      <formula>OR($K18="延期",AND(#REF!="严重",$K18=""))</formula>
    </cfRule>
    <cfRule type="expression" dxfId="0" priority="2">
      <formula>$K18="已完成"</formula>
    </cfRule>
  </conditionalFormatting>
  <dataValidations count="1">
    <dataValidation allowBlank="1" showInputMessage="1" showErrorMessage="1" sqref="K18:L19"/>
  </dataValidation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3"/>
  <sheetViews>
    <sheetView workbookViewId="0">
      <pane xSplit="1" ySplit="2" topLeftCell="B18" activePane="bottomRight" state="frozen"/>
      <selection/>
      <selection pane="topRight"/>
      <selection pane="bottomLeft"/>
      <selection pane="bottomRight" activeCell="A1" sqref="A1:S1"/>
    </sheetView>
  </sheetViews>
  <sheetFormatPr defaultColWidth="11" defaultRowHeight="14.25"/>
  <cols>
    <col min="1" max="1" width="11" style="1"/>
    <col min="2" max="2" width="11" style="3"/>
    <col min="3" max="3" width="11" style="4"/>
    <col min="4" max="4" width="21.2166666666667" style="4" customWidth="1"/>
    <col min="5" max="5" width="14.1666666666667" style="3" customWidth="1"/>
    <col min="6" max="6" width="11" style="3"/>
    <col min="7" max="7" width="14.5" style="5"/>
    <col min="8" max="8" width="11.2083333333333" style="3"/>
    <col min="9" max="10" width="11" style="3"/>
    <col min="11" max="11" width="31.6416666666667" style="6" customWidth="1"/>
    <col min="12" max="12" width="40.6416666666667" style="6" customWidth="1"/>
    <col min="13" max="14" width="9.1" style="4"/>
    <col min="15" max="15" width="15" style="3" customWidth="1"/>
    <col min="16" max="16" width="10.6416666666667" style="3" customWidth="1"/>
    <col min="17" max="18" width="9.1" style="3"/>
    <col min="19" max="19" width="17.425" style="4" customWidth="1"/>
    <col min="20" max="16384" width="11" style="3"/>
  </cols>
  <sheetData>
    <row r="1" s="1" customFormat="1" ht="31.5" spans="1:19">
      <c r="A1" s="7" t="s">
        <v>350</v>
      </c>
      <c r="B1" s="8"/>
      <c r="C1" s="9"/>
      <c r="D1" s="9"/>
      <c r="E1" s="8"/>
      <c r="F1" s="8"/>
      <c r="G1" s="10"/>
      <c r="H1" s="8"/>
      <c r="I1" s="8"/>
      <c r="J1" s="8"/>
      <c r="K1" s="19"/>
      <c r="L1" s="19"/>
      <c r="M1" s="8"/>
      <c r="N1" s="8"/>
      <c r="O1" s="8"/>
      <c r="P1" s="8"/>
      <c r="Q1" s="8"/>
      <c r="R1" s="8"/>
      <c r="S1" s="26"/>
    </row>
    <row r="2" s="1" customFormat="1" ht="42.75" spans="1:19">
      <c r="A2" s="11" t="s">
        <v>1</v>
      </c>
      <c r="B2" s="12" t="s">
        <v>2</v>
      </c>
      <c r="C2" s="12" t="s">
        <v>3</v>
      </c>
      <c r="D2" s="13" t="s">
        <v>4</v>
      </c>
      <c r="E2" s="11" t="s">
        <v>5</v>
      </c>
      <c r="F2" s="12" t="s">
        <v>6</v>
      </c>
      <c r="G2" s="13" t="s">
        <v>11</v>
      </c>
      <c r="H2" s="12" t="s">
        <v>12</v>
      </c>
      <c r="I2" s="12" t="s">
        <v>13</v>
      </c>
      <c r="J2" s="12" t="s">
        <v>14</v>
      </c>
      <c r="K2" s="20" t="s">
        <v>15</v>
      </c>
      <c r="L2" s="20" t="s">
        <v>16</v>
      </c>
      <c r="M2" s="20" t="s">
        <v>17</v>
      </c>
      <c r="N2" s="20" t="s">
        <v>18</v>
      </c>
      <c r="O2" s="20" t="s">
        <v>19</v>
      </c>
      <c r="P2" s="20" t="s">
        <v>20</v>
      </c>
      <c r="Q2" s="20" t="s">
        <v>21</v>
      </c>
      <c r="R2" s="20" t="s">
        <v>22</v>
      </c>
      <c r="S2" s="20" t="s">
        <v>23</v>
      </c>
    </row>
    <row r="3" s="1" customFormat="1" ht="27" spans="1:19">
      <c r="A3" s="38" t="s">
        <v>47</v>
      </c>
      <c r="B3" s="44" t="s">
        <v>25</v>
      </c>
      <c r="C3" s="44" t="s">
        <v>48</v>
      </c>
      <c r="D3" s="45" t="s">
        <v>87</v>
      </c>
      <c r="E3" s="45" t="s">
        <v>88</v>
      </c>
      <c r="F3" s="45">
        <v>1</v>
      </c>
      <c r="G3" s="46" t="s">
        <v>89</v>
      </c>
      <c r="H3" s="45">
        <v>23</v>
      </c>
      <c r="I3" s="45">
        <v>1</v>
      </c>
      <c r="J3" s="62" t="s">
        <v>52</v>
      </c>
      <c r="K3" s="58" t="s">
        <v>90</v>
      </c>
      <c r="L3" s="60" t="s">
        <v>91</v>
      </c>
      <c r="M3" s="57" t="s">
        <v>92</v>
      </c>
      <c r="N3" s="57" t="s">
        <v>93</v>
      </c>
      <c r="O3" s="61" t="s">
        <v>57</v>
      </c>
      <c r="P3" s="59" t="s">
        <v>58</v>
      </c>
      <c r="Q3" s="74"/>
      <c r="R3" s="74"/>
      <c r="S3" s="29"/>
    </row>
    <row r="4" s="1" customFormat="1" ht="27" spans="1:19">
      <c r="A4" s="38" t="s">
        <v>47</v>
      </c>
      <c r="B4" s="39" t="s">
        <v>25</v>
      </c>
      <c r="C4" s="39" t="s">
        <v>48</v>
      </c>
      <c r="D4" s="47" t="s">
        <v>94</v>
      </c>
      <c r="E4" s="47" t="s">
        <v>95</v>
      </c>
      <c r="F4" s="47">
        <v>1</v>
      </c>
      <c r="G4" s="47">
        <v>2022.11</v>
      </c>
      <c r="H4" s="47">
        <v>10</v>
      </c>
      <c r="I4" s="47">
        <v>1</v>
      </c>
      <c r="J4" s="47" t="s">
        <v>52</v>
      </c>
      <c r="K4" s="63" t="s">
        <v>98</v>
      </c>
      <c r="L4" s="63" t="s">
        <v>99</v>
      </c>
      <c r="M4" s="64" t="s">
        <v>92</v>
      </c>
      <c r="N4" s="64" t="s">
        <v>93</v>
      </c>
      <c r="O4" s="61" t="s">
        <v>57</v>
      </c>
      <c r="P4" s="59" t="s">
        <v>58</v>
      </c>
      <c r="Q4" s="74"/>
      <c r="R4" s="74"/>
      <c r="S4" s="29"/>
    </row>
    <row r="5" s="1" customFormat="1" ht="27" spans="1:19">
      <c r="A5" s="34" t="s">
        <v>189</v>
      </c>
      <c r="B5" s="47" t="s">
        <v>101</v>
      </c>
      <c r="C5" s="47" t="s">
        <v>190</v>
      </c>
      <c r="D5" s="50" t="s">
        <v>191</v>
      </c>
      <c r="E5" s="50" t="s">
        <v>192</v>
      </c>
      <c r="F5" s="50">
        <v>1</v>
      </c>
      <c r="G5" s="50">
        <v>2024.9</v>
      </c>
      <c r="H5" s="50">
        <v>21</v>
      </c>
      <c r="I5" s="50">
        <v>1</v>
      </c>
      <c r="J5" s="47" t="s">
        <v>170</v>
      </c>
      <c r="K5" s="65" t="s">
        <v>193</v>
      </c>
      <c r="L5" s="65" t="s">
        <v>194</v>
      </c>
      <c r="M5" s="29" t="s">
        <v>195</v>
      </c>
      <c r="N5" s="29" t="s">
        <v>196</v>
      </c>
      <c r="O5" s="34" t="s">
        <v>57</v>
      </c>
      <c r="P5" s="34" t="s">
        <v>146</v>
      </c>
      <c r="Q5" s="74"/>
      <c r="R5" s="74"/>
      <c r="S5" s="29"/>
    </row>
    <row r="6" s="1" customFormat="1" ht="27" spans="1:19">
      <c r="A6" s="34" t="s">
        <v>189</v>
      </c>
      <c r="B6" s="47" t="s">
        <v>101</v>
      </c>
      <c r="C6" s="47" t="s">
        <v>190</v>
      </c>
      <c r="D6" s="50" t="s">
        <v>191</v>
      </c>
      <c r="E6" s="50" t="s">
        <v>192</v>
      </c>
      <c r="F6" s="50">
        <v>1</v>
      </c>
      <c r="G6" s="50">
        <v>2024.9</v>
      </c>
      <c r="H6" s="50">
        <v>21</v>
      </c>
      <c r="I6" s="50">
        <v>1</v>
      </c>
      <c r="J6" s="47" t="s">
        <v>170</v>
      </c>
      <c r="K6" s="65" t="s">
        <v>202</v>
      </c>
      <c r="L6" s="65" t="s">
        <v>203</v>
      </c>
      <c r="M6" s="29" t="s">
        <v>92</v>
      </c>
      <c r="N6" s="29" t="s">
        <v>204</v>
      </c>
      <c r="O6" s="34" t="s">
        <v>57</v>
      </c>
      <c r="P6" s="34" t="s">
        <v>146</v>
      </c>
      <c r="Q6" s="74"/>
      <c r="R6" s="74"/>
      <c r="S6" s="29"/>
    </row>
    <row r="7" s="1" customFormat="1" ht="27" spans="1:19">
      <c r="A7" s="51" t="s">
        <v>217</v>
      </c>
      <c r="B7" s="47" t="s">
        <v>101</v>
      </c>
      <c r="C7" s="47" t="s">
        <v>218</v>
      </c>
      <c r="D7" s="47" t="s">
        <v>238</v>
      </c>
      <c r="E7" s="47" t="s">
        <v>239</v>
      </c>
      <c r="F7" s="47">
        <v>1</v>
      </c>
      <c r="G7" s="47">
        <v>2024.1</v>
      </c>
      <c r="H7" s="47">
        <v>25</v>
      </c>
      <c r="I7" s="47">
        <v>1</v>
      </c>
      <c r="J7" s="47" t="s">
        <v>30</v>
      </c>
      <c r="K7" s="65" t="s">
        <v>246</v>
      </c>
      <c r="L7" s="65" t="s">
        <v>247</v>
      </c>
      <c r="M7" s="29" t="s">
        <v>248</v>
      </c>
      <c r="N7" s="29" t="s">
        <v>249</v>
      </c>
      <c r="O7" s="50" t="s">
        <v>57</v>
      </c>
      <c r="P7" s="51" t="s">
        <v>58</v>
      </c>
      <c r="Q7" s="74"/>
      <c r="R7" s="74"/>
      <c r="S7" s="29"/>
    </row>
    <row r="8" s="1" customFormat="1" spans="1:19">
      <c r="A8" s="67" t="s">
        <v>265</v>
      </c>
      <c r="B8" s="49" t="s">
        <v>101</v>
      </c>
      <c r="C8" s="50" t="s">
        <v>272</v>
      </c>
      <c r="D8" s="50" t="s">
        <v>273</v>
      </c>
      <c r="E8" s="50" t="s">
        <v>274</v>
      </c>
      <c r="F8" s="50">
        <v>2</v>
      </c>
      <c r="G8" s="50" t="s">
        <v>275</v>
      </c>
      <c r="H8" s="50">
        <v>12</v>
      </c>
      <c r="I8" s="50">
        <v>2</v>
      </c>
      <c r="J8" s="49" t="s">
        <v>52</v>
      </c>
      <c r="K8" s="66" t="s">
        <v>280</v>
      </c>
      <c r="L8" s="66" t="s">
        <v>281</v>
      </c>
      <c r="M8" s="29" t="s">
        <v>92</v>
      </c>
      <c r="N8" s="45" t="s">
        <v>93</v>
      </c>
      <c r="O8" s="47" t="s">
        <v>57</v>
      </c>
      <c r="P8" s="51" t="s">
        <v>146</v>
      </c>
      <c r="Q8" s="74"/>
      <c r="R8" s="74"/>
      <c r="S8" s="29"/>
    </row>
    <row r="9" s="2" customFormat="1" ht="28.5" spans="1:19">
      <c r="A9" s="31" t="s">
        <v>24</v>
      </c>
      <c r="B9" s="34" t="s">
        <v>25</v>
      </c>
      <c r="C9" s="34" t="s">
        <v>506</v>
      </c>
      <c r="D9" s="34" t="s">
        <v>507</v>
      </c>
      <c r="E9" s="34" t="s">
        <v>508</v>
      </c>
      <c r="F9" s="34">
        <v>1</v>
      </c>
      <c r="G9" s="34" t="s">
        <v>119</v>
      </c>
      <c r="H9" s="34">
        <v>31</v>
      </c>
      <c r="I9" s="34">
        <v>1</v>
      </c>
      <c r="J9" s="34" t="s">
        <v>170</v>
      </c>
      <c r="K9" s="85" t="s">
        <v>509</v>
      </c>
      <c r="L9" s="85" t="s">
        <v>510</v>
      </c>
      <c r="M9" s="86" t="s">
        <v>92</v>
      </c>
      <c r="N9" s="86" t="s">
        <v>511</v>
      </c>
      <c r="O9" s="57" t="s">
        <v>512</v>
      </c>
      <c r="P9" s="57" t="s">
        <v>358</v>
      </c>
      <c r="Q9" s="57"/>
      <c r="R9" s="57"/>
      <c r="S9" s="57"/>
    </row>
    <row r="10" s="2" customFormat="1" ht="54" spans="1:19">
      <c r="A10" s="14" t="s">
        <v>47</v>
      </c>
      <c r="B10" s="14" t="s">
        <v>25</v>
      </c>
      <c r="C10" s="14" t="s">
        <v>48</v>
      </c>
      <c r="D10" s="84" t="s">
        <v>513</v>
      </c>
      <c r="E10" s="84" t="s">
        <v>514</v>
      </c>
      <c r="F10" s="84">
        <v>1</v>
      </c>
      <c r="G10" s="84" t="s">
        <v>51</v>
      </c>
      <c r="H10" s="84">
        <v>18</v>
      </c>
      <c r="I10" s="84">
        <v>1</v>
      </c>
      <c r="J10" s="21" t="s">
        <v>449</v>
      </c>
      <c r="K10" s="87" t="s">
        <v>515</v>
      </c>
      <c r="L10" s="87" t="s">
        <v>516</v>
      </c>
      <c r="M10" s="88" t="s">
        <v>92</v>
      </c>
      <c r="N10" s="57" t="s">
        <v>517</v>
      </c>
      <c r="O10" s="24" t="s">
        <v>365</v>
      </c>
      <c r="P10" s="24"/>
      <c r="Q10" s="27"/>
      <c r="R10" s="27"/>
      <c r="S10" s="28"/>
    </row>
    <row r="11" s="2" customFormat="1" ht="81" spans="1:19">
      <c r="A11" s="14" t="s">
        <v>47</v>
      </c>
      <c r="B11" s="14" t="s">
        <v>25</v>
      </c>
      <c r="C11" s="14" t="s">
        <v>48</v>
      </c>
      <c r="D11" s="15" t="s">
        <v>447</v>
      </c>
      <c r="E11" s="15" t="s">
        <v>448</v>
      </c>
      <c r="F11" s="15">
        <v>1</v>
      </c>
      <c r="G11" s="15">
        <v>2025.1</v>
      </c>
      <c r="H11" s="15">
        <v>1</v>
      </c>
      <c r="I11" s="15">
        <v>1</v>
      </c>
      <c r="J11" s="21" t="s">
        <v>449</v>
      </c>
      <c r="K11" s="87" t="s">
        <v>518</v>
      </c>
      <c r="L11" s="87" t="s">
        <v>519</v>
      </c>
      <c r="M11" s="89" t="s">
        <v>92</v>
      </c>
      <c r="N11" s="89" t="s">
        <v>93</v>
      </c>
      <c r="O11" s="24" t="s">
        <v>365</v>
      </c>
      <c r="P11" s="24"/>
      <c r="Q11" s="27"/>
      <c r="R11" s="27"/>
      <c r="S11" s="28"/>
    </row>
    <row r="12" s="2" customFormat="1" ht="81" spans="1:19">
      <c r="A12" s="14" t="s">
        <v>47</v>
      </c>
      <c r="B12" s="14" t="s">
        <v>25</v>
      </c>
      <c r="C12" s="14" t="s">
        <v>48</v>
      </c>
      <c r="D12" s="15" t="s">
        <v>447</v>
      </c>
      <c r="E12" s="15" t="s">
        <v>448</v>
      </c>
      <c r="F12" s="15">
        <v>1</v>
      </c>
      <c r="G12" s="15">
        <v>2025.1</v>
      </c>
      <c r="H12" s="15">
        <v>1</v>
      </c>
      <c r="I12" s="15">
        <v>1</v>
      </c>
      <c r="J12" s="21" t="s">
        <v>449</v>
      </c>
      <c r="K12" s="87" t="s">
        <v>518</v>
      </c>
      <c r="L12" s="87" t="s">
        <v>519</v>
      </c>
      <c r="M12" s="89" t="s">
        <v>92</v>
      </c>
      <c r="N12" s="89" t="s">
        <v>93</v>
      </c>
      <c r="O12" s="24" t="s">
        <v>365</v>
      </c>
      <c r="P12" s="24"/>
      <c r="Q12" s="27"/>
      <c r="R12" s="27"/>
      <c r="S12" s="28"/>
    </row>
    <row r="13" s="2" customFormat="1" ht="81" spans="1:19">
      <c r="A13" s="14" t="s">
        <v>47</v>
      </c>
      <c r="B13" s="14" t="s">
        <v>25</v>
      </c>
      <c r="C13" s="14" t="s">
        <v>48</v>
      </c>
      <c r="D13" s="15" t="s">
        <v>447</v>
      </c>
      <c r="E13" s="15" t="s">
        <v>448</v>
      </c>
      <c r="F13" s="15">
        <v>1</v>
      </c>
      <c r="G13" s="15">
        <v>2025.1</v>
      </c>
      <c r="H13" s="15">
        <v>1</v>
      </c>
      <c r="I13" s="15">
        <v>1</v>
      </c>
      <c r="J13" s="21" t="s">
        <v>449</v>
      </c>
      <c r="K13" s="87" t="s">
        <v>518</v>
      </c>
      <c r="L13" s="87" t="s">
        <v>520</v>
      </c>
      <c r="M13" s="89" t="s">
        <v>92</v>
      </c>
      <c r="N13" s="89" t="s">
        <v>93</v>
      </c>
      <c r="O13" s="24" t="s">
        <v>365</v>
      </c>
      <c r="P13" s="24"/>
      <c r="Q13" s="27"/>
      <c r="R13" s="27"/>
      <c r="S13" s="28"/>
    </row>
    <row r="14" s="2" customFormat="1" ht="67.5" spans="1:19">
      <c r="A14" s="14" t="s">
        <v>47</v>
      </c>
      <c r="B14" s="14" t="s">
        <v>25</v>
      </c>
      <c r="C14" s="14" t="s">
        <v>48</v>
      </c>
      <c r="D14" s="15" t="s">
        <v>447</v>
      </c>
      <c r="E14" s="15" t="s">
        <v>448</v>
      </c>
      <c r="F14" s="15">
        <v>1</v>
      </c>
      <c r="G14" s="15">
        <v>2025.1</v>
      </c>
      <c r="H14" s="15">
        <v>1</v>
      </c>
      <c r="I14" s="15">
        <v>1</v>
      </c>
      <c r="J14" s="21" t="s">
        <v>449</v>
      </c>
      <c r="K14" s="87" t="s">
        <v>521</v>
      </c>
      <c r="L14" s="87" t="s">
        <v>522</v>
      </c>
      <c r="M14" s="89" t="s">
        <v>92</v>
      </c>
      <c r="N14" s="89" t="s">
        <v>93</v>
      </c>
      <c r="O14" s="24" t="s">
        <v>365</v>
      </c>
      <c r="P14" s="24"/>
      <c r="Q14" s="27"/>
      <c r="R14" s="27"/>
      <c r="S14" s="28"/>
    </row>
    <row r="15" ht="27" spans="1:19">
      <c r="A15" s="14" t="s">
        <v>47</v>
      </c>
      <c r="B15" s="14" t="s">
        <v>25</v>
      </c>
      <c r="C15" s="14" t="s">
        <v>48</v>
      </c>
      <c r="D15" s="15" t="s">
        <v>447</v>
      </c>
      <c r="E15" s="15" t="s">
        <v>448</v>
      </c>
      <c r="F15" s="15">
        <v>1</v>
      </c>
      <c r="G15" s="15">
        <v>2025.1</v>
      </c>
      <c r="H15" s="15">
        <v>1</v>
      </c>
      <c r="I15" s="15">
        <v>1</v>
      </c>
      <c r="J15" s="21" t="s">
        <v>449</v>
      </c>
      <c r="K15" s="87" t="s">
        <v>523</v>
      </c>
      <c r="L15" s="87" t="s">
        <v>524</v>
      </c>
      <c r="M15" s="89" t="s">
        <v>92</v>
      </c>
      <c r="N15" s="89" t="s">
        <v>93</v>
      </c>
      <c r="O15" s="24" t="s">
        <v>365</v>
      </c>
      <c r="P15" s="24"/>
      <c r="Q15" s="27"/>
      <c r="R15" s="27"/>
      <c r="S15" s="28"/>
    </row>
    <row r="16" ht="27" spans="1:19">
      <c r="A16" s="47" t="s">
        <v>137</v>
      </c>
      <c r="B16" s="47" t="s">
        <v>101</v>
      </c>
      <c r="C16" s="47" t="s">
        <v>138</v>
      </c>
      <c r="D16" s="47" t="s">
        <v>139</v>
      </c>
      <c r="E16" s="47" t="s">
        <v>362</v>
      </c>
      <c r="F16" s="47">
        <v>8</v>
      </c>
      <c r="G16" s="47" t="s">
        <v>141</v>
      </c>
      <c r="H16" s="47">
        <v>31</v>
      </c>
      <c r="I16" s="47">
        <v>8</v>
      </c>
      <c r="J16" s="47" t="s">
        <v>30</v>
      </c>
      <c r="K16" s="90" t="s">
        <v>525</v>
      </c>
      <c r="L16" s="90" t="s">
        <v>526</v>
      </c>
      <c r="M16" s="28" t="s">
        <v>92</v>
      </c>
      <c r="N16" s="57" t="s">
        <v>527</v>
      </c>
      <c r="O16" s="31" t="s">
        <v>365</v>
      </c>
      <c r="P16" s="31"/>
      <c r="Q16" s="27"/>
      <c r="R16" s="27"/>
      <c r="S16" s="28"/>
    </row>
    <row r="17" ht="27" spans="1:19">
      <c r="A17" s="47" t="s">
        <v>137</v>
      </c>
      <c r="B17" s="47" t="s">
        <v>101</v>
      </c>
      <c r="C17" s="47" t="s">
        <v>138</v>
      </c>
      <c r="D17" s="47" t="s">
        <v>139</v>
      </c>
      <c r="E17" s="47" t="s">
        <v>362</v>
      </c>
      <c r="F17" s="47">
        <v>8</v>
      </c>
      <c r="G17" s="47" t="s">
        <v>141</v>
      </c>
      <c r="H17" s="47">
        <v>31</v>
      </c>
      <c r="I17" s="47">
        <v>8</v>
      </c>
      <c r="J17" s="47" t="s">
        <v>30</v>
      </c>
      <c r="K17" s="87" t="s">
        <v>528</v>
      </c>
      <c r="L17" s="90" t="s">
        <v>529</v>
      </c>
      <c r="M17" s="28" t="s">
        <v>92</v>
      </c>
      <c r="N17" s="57" t="s">
        <v>527</v>
      </c>
      <c r="O17" s="31" t="s">
        <v>365</v>
      </c>
      <c r="P17" s="31"/>
      <c r="Q17" s="88"/>
      <c r="R17" s="27"/>
      <c r="S17" s="28"/>
    </row>
    <row r="18" ht="40.5" spans="1:19">
      <c r="A18" s="30" t="s">
        <v>189</v>
      </c>
      <c r="B18" s="30" t="s">
        <v>101</v>
      </c>
      <c r="C18" s="30" t="s">
        <v>205</v>
      </c>
      <c r="D18" s="30" t="s">
        <v>206</v>
      </c>
      <c r="E18" s="30" t="s">
        <v>207</v>
      </c>
      <c r="F18" s="30">
        <v>3</v>
      </c>
      <c r="G18" s="30" t="s">
        <v>208</v>
      </c>
      <c r="H18" s="30">
        <v>13</v>
      </c>
      <c r="I18" s="30">
        <v>3</v>
      </c>
      <c r="J18" s="30" t="s">
        <v>170</v>
      </c>
      <c r="K18" s="87" t="s">
        <v>413</v>
      </c>
      <c r="L18" s="87" t="s">
        <v>414</v>
      </c>
      <c r="M18" s="89" t="s">
        <v>530</v>
      </c>
      <c r="N18" s="87" t="s">
        <v>531</v>
      </c>
      <c r="O18" s="31" t="s">
        <v>512</v>
      </c>
      <c r="P18" s="31"/>
      <c r="Q18" s="27"/>
      <c r="R18" s="27"/>
      <c r="S18" s="28"/>
    </row>
    <row r="19" ht="27" spans="1:19">
      <c r="A19" s="31" t="s">
        <v>265</v>
      </c>
      <c r="B19" s="30" t="s">
        <v>101</v>
      </c>
      <c r="C19" s="30" t="s">
        <v>123</v>
      </c>
      <c r="D19" s="30" t="s">
        <v>124</v>
      </c>
      <c r="E19" s="30" t="s">
        <v>125</v>
      </c>
      <c r="F19" s="30">
        <v>4</v>
      </c>
      <c r="G19" s="30" t="s">
        <v>78</v>
      </c>
      <c r="H19" s="30">
        <v>18</v>
      </c>
      <c r="I19" s="30">
        <v>4</v>
      </c>
      <c r="J19" s="30" t="s">
        <v>52</v>
      </c>
      <c r="K19" s="90" t="s">
        <v>532</v>
      </c>
      <c r="L19" s="87" t="s">
        <v>533</v>
      </c>
      <c r="M19" s="28" t="s">
        <v>92</v>
      </c>
      <c r="N19" s="28" t="s">
        <v>93</v>
      </c>
      <c r="O19" s="30" t="s">
        <v>365</v>
      </c>
      <c r="P19" s="31" t="s">
        <v>386</v>
      </c>
      <c r="Q19" s="27"/>
      <c r="R19" s="27"/>
      <c r="S19" s="28"/>
    </row>
    <row r="20" ht="27" spans="1:19">
      <c r="A20" s="31" t="s">
        <v>265</v>
      </c>
      <c r="B20" s="30" t="s">
        <v>101</v>
      </c>
      <c r="C20" s="30" t="s">
        <v>123</v>
      </c>
      <c r="D20" s="30" t="s">
        <v>124</v>
      </c>
      <c r="E20" s="30" t="s">
        <v>125</v>
      </c>
      <c r="F20" s="30">
        <v>4</v>
      </c>
      <c r="G20" s="30" t="s">
        <v>78</v>
      </c>
      <c r="H20" s="30">
        <v>18</v>
      </c>
      <c r="I20" s="30">
        <v>4</v>
      </c>
      <c r="J20" s="30" t="s">
        <v>52</v>
      </c>
      <c r="K20" s="87" t="s">
        <v>534</v>
      </c>
      <c r="L20" s="87" t="s">
        <v>535</v>
      </c>
      <c r="M20" s="28" t="s">
        <v>92</v>
      </c>
      <c r="N20" s="28" t="s">
        <v>93</v>
      </c>
      <c r="O20" s="30" t="s">
        <v>365</v>
      </c>
      <c r="P20" s="31" t="s">
        <v>386</v>
      </c>
      <c r="Q20" s="27"/>
      <c r="R20" s="27"/>
      <c r="S20" s="28"/>
    </row>
    <row r="21" ht="42.75" spans="1:19">
      <c r="A21" s="30" t="s">
        <v>24</v>
      </c>
      <c r="B21" s="30" t="s">
        <v>101</v>
      </c>
      <c r="C21" s="30" t="s">
        <v>387</v>
      </c>
      <c r="D21" s="30" t="s">
        <v>388</v>
      </c>
      <c r="E21" s="30" t="s">
        <v>389</v>
      </c>
      <c r="F21" s="30">
        <v>20</v>
      </c>
      <c r="G21" s="30">
        <v>2024.11</v>
      </c>
      <c r="H21" s="30">
        <v>22</v>
      </c>
      <c r="I21" s="30">
        <v>20</v>
      </c>
      <c r="J21" s="30" t="s">
        <v>170</v>
      </c>
      <c r="K21" s="99" t="s">
        <v>536</v>
      </c>
      <c r="L21" s="99" t="s">
        <v>537</v>
      </c>
      <c r="M21" s="86" t="s">
        <v>92</v>
      </c>
      <c r="N21" s="99" t="s">
        <v>538</v>
      </c>
      <c r="O21" s="24" t="s">
        <v>393</v>
      </c>
      <c r="P21" s="24" t="s">
        <v>394</v>
      </c>
      <c r="Q21" s="24" t="s">
        <v>395</v>
      </c>
      <c r="R21" s="24"/>
      <c r="S21" s="24"/>
    </row>
    <row r="22" ht="27" spans="1:19">
      <c r="A22" s="14" t="s">
        <v>47</v>
      </c>
      <c r="B22" s="14" t="s">
        <v>25</v>
      </c>
      <c r="C22" s="14" t="s">
        <v>48</v>
      </c>
      <c r="D22" s="84" t="s">
        <v>72</v>
      </c>
      <c r="E22" s="84" t="s">
        <v>73</v>
      </c>
      <c r="F22" s="84">
        <v>1</v>
      </c>
      <c r="G22" s="84">
        <v>2024.6</v>
      </c>
      <c r="H22" s="84">
        <v>29</v>
      </c>
      <c r="I22" s="84">
        <v>1</v>
      </c>
      <c r="J22" s="21" t="s">
        <v>52</v>
      </c>
      <c r="K22" s="22" t="s">
        <v>539</v>
      </c>
      <c r="L22" s="22" t="s">
        <v>540</v>
      </c>
      <c r="M22" s="27" t="s">
        <v>92</v>
      </c>
      <c r="N22" s="24" t="s">
        <v>93</v>
      </c>
      <c r="O22" s="24" t="s">
        <v>365</v>
      </c>
      <c r="P22" s="24" t="s">
        <v>372</v>
      </c>
      <c r="Q22" s="27"/>
      <c r="R22" s="27"/>
      <c r="S22" s="28"/>
    </row>
    <row r="23" ht="28.5" spans="1:19">
      <c r="A23" s="14" t="s">
        <v>47</v>
      </c>
      <c r="B23" s="14" t="s">
        <v>25</v>
      </c>
      <c r="C23" s="14" t="s">
        <v>48</v>
      </c>
      <c r="D23" s="84" t="s">
        <v>541</v>
      </c>
      <c r="E23" s="84" t="s">
        <v>542</v>
      </c>
      <c r="F23" s="84">
        <v>1</v>
      </c>
      <c r="G23" s="84">
        <v>2024.6</v>
      </c>
      <c r="H23" s="84">
        <v>29</v>
      </c>
      <c r="I23" s="84">
        <v>1</v>
      </c>
      <c r="J23" s="21" t="s">
        <v>52</v>
      </c>
      <c r="K23" s="22" t="s">
        <v>539</v>
      </c>
      <c r="L23" s="22" t="s">
        <v>540</v>
      </c>
      <c r="M23" s="27" t="s">
        <v>92</v>
      </c>
      <c r="N23" s="24" t="s">
        <v>93</v>
      </c>
      <c r="O23" s="24" t="s">
        <v>365</v>
      </c>
      <c r="P23" s="24" t="s">
        <v>372</v>
      </c>
      <c r="Q23" s="27"/>
      <c r="R23" s="27"/>
      <c r="S23" s="28"/>
    </row>
    <row r="24" spans="1:19">
      <c r="A24" s="14" t="s">
        <v>47</v>
      </c>
      <c r="B24" s="14" t="s">
        <v>25</v>
      </c>
      <c r="C24" s="14" t="s">
        <v>48</v>
      </c>
      <c r="D24" s="94" t="s">
        <v>464</v>
      </c>
      <c r="E24" s="94" t="s">
        <v>465</v>
      </c>
      <c r="F24" s="94">
        <v>1</v>
      </c>
      <c r="G24" s="94">
        <v>2025.3</v>
      </c>
      <c r="H24" s="94">
        <v>4</v>
      </c>
      <c r="I24" s="94">
        <v>1</v>
      </c>
      <c r="J24" s="21" t="s">
        <v>52</v>
      </c>
      <c r="K24" s="22" t="s">
        <v>543</v>
      </c>
      <c r="L24" s="22" t="s">
        <v>544</v>
      </c>
      <c r="M24" s="89" t="s">
        <v>92</v>
      </c>
      <c r="N24" s="23" t="s">
        <v>93</v>
      </c>
      <c r="O24" s="24" t="s">
        <v>365</v>
      </c>
      <c r="P24" s="24" t="s">
        <v>372</v>
      </c>
      <c r="Q24" s="27"/>
      <c r="R24" s="27"/>
      <c r="S24" s="28"/>
    </row>
    <row r="25" ht="27" spans="1:19">
      <c r="A25" s="95" t="s">
        <v>100</v>
      </c>
      <c r="B25" s="47" t="s">
        <v>101</v>
      </c>
      <c r="C25" s="47" t="s">
        <v>102</v>
      </c>
      <c r="D25" s="47" t="s">
        <v>103</v>
      </c>
      <c r="E25" s="47" t="s">
        <v>477</v>
      </c>
      <c r="F25" s="47">
        <v>4</v>
      </c>
      <c r="G25" s="47">
        <v>2024.12</v>
      </c>
      <c r="H25" s="47">
        <v>30</v>
      </c>
      <c r="I25" s="47">
        <v>4</v>
      </c>
      <c r="J25" s="103" t="s">
        <v>170</v>
      </c>
      <c r="K25" s="22" t="s">
        <v>545</v>
      </c>
      <c r="L25" s="22" t="s">
        <v>546</v>
      </c>
      <c r="M25" s="89" t="s">
        <v>92</v>
      </c>
      <c r="N25" s="104" t="s">
        <v>93</v>
      </c>
      <c r="O25" s="24" t="s">
        <v>411</v>
      </c>
      <c r="P25" s="24" t="s">
        <v>372</v>
      </c>
      <c r="Q25" s="27"/>
      <c r="R25" s="24" t="s">
        <v>372</v>
      </c>
      <c r="S25" s="28"/>
    </row>
    <row r="26" ht="27" spans="1:19">
      <c r="A26" s="95" t="s">
        <v>100</v>
      </c>
      <c r="B26" s="47" t="s">
        <v>101</v>
      </c>
      <c r="C26" s="47" t="s">
        <v>102</v>
      </c>
      <c r="D26" s="47" t="s">
        <v>103</v>
      </c>
      <c r="E26" s="47" t="s">
        <v>477</v>
      </c>
      <c r="F26" s="47">
        <v>4</v>
      </c>
      <c r="G26" s="47">
        <v>2024.12</v>
      </c>
      <c r="H26" s="47">
        <v>30</v>
      </c>
      <c r="I26" s="47">
        <v>4</v>
      </c>
      <c r="J26" s="103" t="s">
        <v>170</v>
      </c>
      <c r="K26" s="22" t="s">
        <v>547</v>
      </c>
      <c r="L26" s="22" t="s">
        <v>548</v>
      </c>
      <c r="M26" s="89" t="s">
        <v>92</v>
      </c>
      <c r="N26" s="104" t="s">
        <v>93</v>
      </c>
      <c r="O26" s="24" t="s">
        <v>411</v>
      </c>
      <c r="P26" s="24" t="s">
        <v>372</v>
      </c>
      <c r="Q26" s="27"/>
      <c r="R26" s="24" t="s">
        <v>372</v>
      </c>
      <c r="S26" s="28"/>
    </row>
    <row r="27" ht="27" spans="1:19">
      <c r="A27" s="95" t="s">
        <v>100</v>
      </c>
      <c r="B27" s="47" t="s">
        <v>101</v>
      </c>
      <c r="C27" s="47" t="s">
        <v>102</v>
      </c>
      <c r="D27" s="47" t="s">
        <v>103</v>
      </c>
      <c r="E27" s="47" t="s">
        <v>477</v>
      </c>
      <c r="F27" s="47">
        <v>4</v>
      </c>
      <c r="G27" s="47">
        <v>2024.12</v>
      </c>
      <c r="H27" s="47">
        <v>30</v>
      </c>
      <c r="I27" s="47">
        <v>4</v>
      </c>
      <c r="J27" s="103" t="s">
        <v>170</v>
      </c>
      <c r="K27" s="22" t="s">
        <v>549</v>
      </c>
      <c r="L27" s="22" t="s">
        <v>550</v>
      </c>
      <c r="M27" s="89" t="s">
        <v>92</v>
      </c>
      <c r="N27" s="104" t="s">
        <v>93</v>
      </c>
      <c r="O27" s="24" t="s">
        <v>411</v>
      </c>
      <c r="P27" s="24" t="s">
        <v>372</v>
      </c>
      <c r="Q27" s="27"/>
      <c r="R27" s="24" t="s">
        <v>372</v>
      </c>
      <c r="S27" s="28"/>
    </row>
    <row r="28" ht="28.5" spans="1:19">
      <c r="A28" s="21" t="s">
        <v>137</v>
      </c>
      <c r="B28" s="21" t="s">
        <v>101</v>
      </c>
      <c r="C28" s="21" t="s">
        <v>138</v>
      </c>
      <c r="D28" s="21" t="s">
        <v>139</v>
      </c>
      <c r="E28" s="21" t="s">
        <v>362</v>
      </c>
      <c r="F28" s="21">
        <v>8</v>
      </c>
      <c r="G28" s="21" t="s">
        <v>141</v>
      </c>
      <c r="H28" s="21">
        <v>31</v>
      </c>
      <c r="I28" s="21">
        <v>8</v>
      </c>
      <c r="J28" s="21" t="s">
        <v>30</v>
      </c>
      <c r="K28" s="105" t="s">
        <v>551</v>
      </c>
      <c r="L28" s="22" t="s">
        <v>552</v>
      </c>
      <c r="M28" s="112" t="s">
        <v>92</v>
      </c>
      <c r="N28" s="106" t="s">
        <v>93</v>
      </c>
      <c r="O28" s="24" t="s">
        <v>411</v>
      </c>
      <c r="P28" s="24" t="s">
        <v>372</v>
      </c>
      <c r="Q28" s="27"/>
      <c r="R28" s="27"/>
      <c r="S28" s="28"/>
    </row>
    <row r="29" ht="28.5" spans="1:19">
      <c r="A29" s="21" t="s">
        <v>137</v>
      </c>
      <c r="B29" s="21" t="s">
        <v>101</v>
      </c>
      <c r="C29" s="21" t="s">
        <v>138</v>
      </c>
      <c r="D29" s="21" t="s">
        <v>139</v>
      </c>
      <c r="E29" s="21" t="s">
        <v>362</v>
      </c>
      <c r="F29" s="21">
        <v>8</v>
      </c>
      <c r="G29" s="21" t="s">
        <v>141</v>
      </c>
      <c r="H29" s="21">
        <v>31</v>
      </c>
      <c r="I29" s="21">
        <v>8</v>
      </c>
      <c r="J29" s="21" t="s">
        <v>30</v>
      </c>
      <c r="K29" s="105" t="s">
        <v>551</v>
      </c>
      <c r="L29" s="22" t="s">
        <v>553</v>
      </c>
      <c r="M29" s="112" t="s">
        <v>92</v>
      </c>
      <c r="N29" s="106" t="s">
        <v>93</v>
      </c>
      <c r="O29" s="24" t="s">
        <v>411</v>
      </c>
      <c r="P29" s="24" t="s">
        <v>372</v>
      </c>
      <c r="Q29" s="27"/>
      <c r="R29" s="27"/>
      <c r="S29" s="28"/>
    </row>
    <row r="30" ht="28.5" spans="1:19">
      <c r="A30" s="21" t="s">
        <v>137</v>
      </c>
      <c r="B30" s="21" t="s">
        <v>101</v>
      </c>
      <c r="C30" s="21" t="s">
        <v>138</v>
      </c>
      <c r="D30" s="21" t="s">
        <v>139</v>
      </c>
      <c r="E30" s="21" t="s">
        <v>362</v>
      </c>
      <c r="F30" s="21">
        <v>8</v>
      </c>
      <c r="G30" s="21" t="s">
        <v>141</v>
      </c>
      <c r="H30" s="21">
        <v>31</v>
      </c>
      <c r="I30" s="21">
        <v>8</v>
      </c>
      <c r="J30" s="21" t="s">
        <v>30</v>
      </c>
      <c r="K30" s="105" t="s">
        <v>551</v>
      </c>
      <c r="L30" s="105" t="s">
        <v>552</v>
      </c>
      <c r="M30" s="112" t="s">
        <v>92</v>
      </c>
      <c r="N30" s="106" t="s">
        <v>93</v>
      </c>
      <c r="O30" s="24" t="s">
        <v>411</v>
      </c>
      <c r="P30" s="24" t="s">
        <v>372</v>
      </c>
      <c r="Q30" s="27"/>
      <c r="R30" s="27"/>
      <c r="S30" s="28"/>
    </row>
    <row r="31" ht="42.75" spans="1:19">
      <c r="A31" s="21" t="s">
        <v>137</v>
      </c>
      <c r="B31" s="21" t="s">
        <v>101</v>
      </c>
      <c r="C31" s="21" t="s">
        <v>138</v>
      </c>
      <c r="D31" s="21" t="s">
        <v>139</v>
      </c>
      <c r="E31" s="21" t="s">
        <v>362</v>
      </c>
      <c r="F31" s="21">
        <v>8</v>
      </c>
      <c r="G31" s="21" t="s">
        <v>141</v>
      </c>
      <c r="H31" s="21">
        <v>31</v>
      </c>
      <c r="I31" s="21">
        <v>8</v>
      </c>
      <c r="J31" s="21" t="s">
        <v>30</v>
      </c>
      <c r="K31" s="105" t="s">
        <v>554</v>
      </c>
      <c r="L31" s="105" t="s">
        <v>555</v>
      </c>
      <c r="M31" s="112" t="s">
        <v>92</v>
      </c>
      <c r="N31" s="106" t="s">
        <v>93</v>
      </c>
      <c r="O31" s="24" t="s">
        <v>411</v>
      </c>
      <c r="P31" s="24" t="s">
        <v>372</v>
      </c>
      <c r="Q31" s="27"/>
      <c r="R31" s="27"/>
      <c r="S31" s="28"/>
    </row>
    <row r="32" ht="42.75" spans="1:19">
      <c r="A32" s="21" t="s">
        <v>137</v>
      </c>
      <c r="B32" s="21" t="s">
        <v>101</v>
      </c>
      <c r="C32" s="21" t="s">
        <v>138</v>
      </c>
      <c r="D32" s="21" t="s">
        <v>139</v>
      </c>
      <c r="E32" s="21" t="s">
        <v>362</v>
      </c>
      <c r="F32" s="21">
        <v>8</v>
      </c>
      <c r="G32" s="21" t="s">
        <v>141</v>
      </c>
      <c r="H32" s="21">
        <v>31</v>
      </c>
      <c r="I32" s="21">
        <v>8</v>
      </c>
      <c r="J32" s="21" t="s">
        <v>30</v>
      </c>
      <c r="K32" s="105" t="s">
        <v>555</v>
      </c>
      <c r="L32" s="105" t="s">
        <v>556</v>
      </c>
      <c r="M32" s="112" t="s">
        <v>92</v>
      </c>
      <c r="N32" s="106" t="s">
        <v>93</v>
      </c>
      <c r="O32" s="24" t="s">
        <v>411</v>
      </c>
      <c r="P32" s="24" t="s">
        <v>372</v>
      </c>
      <c r="Q32" s="27"/>
      <c r="R32" s="27"/>
      <c r="S32" s="28"/>
    </row>
    <row r="33" ht="42.75" spans="1:19">
      <c r="A33" s="21" t="s">
        <v>137</v>
      </c>
      <c r="B33" s="21" t="s">
        <v>101</v>
      </c>
      <c r="C33" s="21" t="s">
        <v>138</v>
      </c>
      <c r="D33" s="21" t="s">
        <v>139</v>
      </c>
      <c r="E33" s="21" t="s">
        <v>362</v>
      </c>
      <c r="F33" s="21">
        <v>8</v>
      </c>
      <c r="G33" s="21" t="s">
        <v>141</v>
      </c>
      <c r="H33" s="21">
        <v>31</v>
      </c>
      <c r="I33" s="21">
        <v>8</v>
      </c>
      <c r="J33" s="21" t="s">
        <v>30</v>
      </c>
      <c r="K33" s="105" t="s">
        <v>557</v>
      </c>
      <c r="L33" s="105" t="s">
        <v>558</v>
      </c>
      <c r="M33" s="112" t="s">
        <v>92</v>
      </c>
      <c r="N33" s="106" t="s">
        <v>93</v>
      </c>
      <c r="O33" s="24" t="s">
        <v>411</v>
      </c>
      <c r="P33" s="24" t="s">
        <v>372</v>
      </c>
      <c r="Q33" s="27"/>
      <c r="R33" s="27"/>
      <c r="S33" s="28"/>
    </row>
    <row r="34" ht="57" spans="1:19">
      <c r="A34" s="21" t="s">
        <v>137</v>
      </c>
      <c r="B34" s="21" t="s">
        <v>101</v>
      </c>
      <c r="C34" s="21" t="s">
        <v>138</v>
      </c>
      <c r="D34" s="21" t="s">
        <v>139</v>
      </c>
      <c r="E34" s="21" t="s">
        <v>362</v>
      </c>
      <c r="F34" s="21">
        <v>8</v>
      </c>
      <c r="G34" s="21" t="s">
        <v>141</v>
      </c>
      <c r="H34" s="21">
        <v>31</v>
      </c>
      <c r="I34" s="21">
        <v>8</v>
      </c>
      <c r="J34" s="21" t="s">
        <v>30</v>
      </c>
      <c r="K34" s="105" t="s">
        <v>558</v>
      </c>
      <c r="L34" s="105" t="s">
        <v>559</v>
      </c>
      <c r="M34" s="112" t="s">
        <v>92</v>
      </c>
      <c r="N34" s="106" t="s">
        <v>93</v>
      </c>
      <c r="O34" s="24" t="s">
        <v>411</v>
      </c>
      <c r="P34" s="24" t="s">
        <v>372</v>
      </c>
      <c r="Q34" s="27"/>
      <c r="R34" s="27"/>
      <c r="S34" s="28"/>
    </row>
    <row r="35" ht="28.5" spans="1:19">
      <c r="A35" s="21" t="s">
        <v>137</v>
      </c>
      <c r="B35" s="21" t="s">
        <v>101</v>
      </c>
      <c r="C35" s="21" t="s">
        <v>138</v>
      </c>
      <c r="D35" s="21" t="s">
        <v>139</v>
      </c>
      <c r="E35" s="21" t="s">
        <v>362</v>
      </c>
      <c r="F35" s="21">
        <v>8</v>
      </c>
      <c r="G35" s="21" t="s">
        <v>141</v>
      </c>
      <c r="H35" s="21">
        <v>31</v>
      </c>
      <c r="I35" s="21">
        <v>8</v>
      </c>
      <c r="J35" s="21" t="s">
        <v>30</v>
      </c>
      <c r="K35" s="22" t="s">
        <v>560</v>
      </c>
      <c r="L35" s="22" t="s">
        <v>561</v>
      </c>
      <c r="M35" s="112" t="s">
        <v>92</v>
      </c>
      <c r="N35" s="106" t="s">
        <v>93</v>
      </c>
      <c r="O35" s="24" t="s">
        <v>411</v>
      </c>
      <c r="P35" s="24" t="s">
        <v>372</v>
      </c>
      <c r="Q35" s="27"/>
      <c r="R35" s="27"/>
      <c r="S35" s="28"/>
    </row>
    <row r="36" ht="40.5" spans="1:19">
      <c r="A36" s="30" t="s">
        <v>189</v>
      </c>
      <c r="B36" s="30" t="s">
        <v>25</v>
      </c>
      <c r="C36" s="30" t="s">
        <v>415</v>
      </c>
      <c r="D36" s="30" t="s">
        <v>416</v>
      </c>
      <c r="E36" s="30" t="s">
        <v>417</v>
      </c>
      <c r="F36" s="30">
        <v>1</v>
      </c>
      <c r="G36" s="30">
        <v>2023.12</v>
      </c>
      <c r="H36" s="30">
        <v>5</v>
      </c>
      <c r="I36" s="30">
        <v>1</v>
      </c>
      <c r="J36" s="30"/>
      <c r="K36" s="22" t="s">
        <v>562</v>
      </c>
      <c r="L36" s="22" t="s">
        <v>563</v>
      </c>
      <c r="M36" s="89" t="s">
        <v>92</v>
      </c>
      <c r="N36" s="22" t="s">
        <v>93</v>
      </c>
      <c r="O36" s="31" t="s">
        <v>411</v>
      </c>
      <c r="P36" s="31" t="s">
        <v>372</v>
      </c>
      <c r="Q36" s="27"/>
      <c r="R36" s="27"/>
      <c r="S36" s="28"/>
    </row>
    <row r="37" ht="27" spans="1:19">
      <c r="A37" s="30" t="s">
        <v>420</v>
      </c>
      <c r="B37" s="30" t="s">
        <v>101</v>
      </c>
      <c r="C37" s="30" t="s">
        <v>218</v>
      </c>
      <c r="D37" s="30" t="s">
        <v>238</v>
      </c>
      <c r="E37" s="30" t="s">
        <v>239</v>
      </c>
      <c r="F37" s="30">
        <v>1</v>
      </c>
      <c r="G37" s="30">
        <v>2024.1</v>
      </c>
      <c r="H37" s="30">
        <v>25</v>
      </c>
      <c r="I37" s="30">
        <v>1</v>
      </c>
      <c r="J37" s="30" t="s">
        <v>30</v>
      </c>
      <c r="K37" s="107" t="s">
        <v>564</v>
      </c>
      <c r="L37" s="107" t="s">
        <v>565</v>
      </c>
      <c r="M37" s="89" t="s">
        <v>92</v>
      </c>
      <c r="N37" s="22" t="s">
        <v>93</v>
      </c>
      <c r="O37" s="31" t="s">
        <v>411</v>
      </c>
      <c r="P37" s="31" t="s">
        <v>372</v>
      </c>
      <c r="Q37" s="27"/>
      <c r="R37" s="27"/>
      <c r="S37" s="28"/>
    </row>
    <row r="38" ht="27" spans="1:19">
      <c r="A38" s="30" t="s">
        <v>265</v>
      </c>
      <c r="B38" s="30" t="s">
        <v>101</v>
      </c>
      <c r="C38" s="30" t="s">
        <v>266</v>
      </c>
      <c r="D38" s="30" t="s">
        <v>267</v>
      </c>
      <c r="E38" s="30" t="s">
        <v>268</v>
      </c>
      <c r="F38" s="30">
        <v>2</v>
      </c>
      <c r="G38" s="30">
        <v>2024.7</v>
      </c>
      <c r="H38" s="30">
        <v>30</v>
      </c>
      <c r="I38" s="30">
        <v>2</v>
      </c>
      <c r="J38" s="30" t="s">
        <v>52</v>
      </c>
      <c r="K38" s="22" t="s">
        <v>566</v>
      </c>
      <c r="L38" s="22" t="s">
        <v>567</v>
      </c>
      <c r="M38" s="28" t="s">
        <v>92</v>
      </c>
      <c r="N38" s="28" t="s">
        <v>93</v>
      </c>
      <c r="O38" s="31" t="s">
        <v>484</v>
      </c>
      <c r="P38" s="31" t="s">
        <v>372</v>
      </c>
      <c r="Q38" s="27"/>
      <c r="R38" s="27"/>
      <c r="S38" s="28"/>
    </row>
    <row r="39" ht="40.5" spans="1:19">
      <c r="A39" s="94" t="s">
        <v>287</v>
      </c>
      <c r="B39" s="34" t="s">
        <v>101</v>
      </c>
      <c r="C39" s="34" t="s">
        <v>435</v>
      </c>
      <c r="D39" s="34" t="s">
        <v>436</v>
      </c>
      <c r="E39" s="34" t="s">
        <v>389</v>
      </c>
      <c r="F39" s="34">
        <v>11</v>
      </c>
      <c r="G39" s="34">
        <v>2024.11</v>
      </c>
      <c r="H39" s="34">
        <v>22</v>
      </c>
      <c r="I39" s="34">
        <v>11</v>
      </c>
      <c r="J39" s="34" t="s">
        <v>170</v>
      </c>
      <c r="K39" s="22" t="s">
        <v>568</v>
      </c>
      <c r="L39" s="22" t="s">
        <v>569</v>
      </c>
      <c r="M39" s="28" t="s">
        <v>92</v>
      </c>
      <c r="N39" s="28" t="s">
        <v>93</v>
      </c>
      <c r="O39" s="47" t="s">
        <v>411</v>
      </c>
      <c r="P39" s="34" t="s">
        <v>372</v>
      </c>
      <c r="Q39" s="27"/>
      <c r="R39" s="27"/>
      <c r="S39" s="28"/>
    </row>
    <row r="40" spans="1:19">
      <c r="A40" s="94" t="s">
        <v>287</v>
      </c>
      <c r="B40" s="30" t="s">
        <v>25</v>
      </c>
      <c r="C40" s="30" t="s">
        <v>570</v>
      </c>
      <c r="D40" s="30" t="s">
        <v>571</v>
      </c>
      <c r="E40" s="30" t="s">
        <v>572</v>
      </c>
      <c r="F40" s="30">
        <v>3</v>
      </c>
      <c r="G40" s="30">
        <v>2025.3</v>
      </c>
      <c r="H40" s="30">
        <v>17</v>
      </c>
      <c r="I40" s="30">
        <v>3</v>
      </c>
      <c r="J40" s="34" t="s">
        <v>170</v>
      </c>
      <c r="K40" s="22" t="s">
        <v>573</v>
      </c>
      <c r="L40" s="22" t="s">
        <v>574</v>
      </c>
      <c r="M40" s="28" t="s">
        <v>92</v>
      </c>
      <c r="N40" s="28" t="s">
        <v>93</v>
      </c>
      <c r="O40" s="47" t="s">
        <v>411</v>
      </c>
      <c r="P40" s="34" t="s">
        <v>372</v>
      </c>
      <c r="Q40" s="27"/>
      <c r="R40" s="27"/>
      <c r="S40" s="28"/>
    </row>
    <row r="41" ht="27" spans="1:19">
      <c r="A41" s="94" t="s">
        <v>287</v>
      </c>
      <c r="B41" s="30" t="s">
        <v>25</v>
      </c>
      <c r="C41" s="30" t="s">
        <v>489</v>
      </c>
      <c r="D41" s="30" t="s">
        <v>490</v>
      </c>
      <c r="E41" s="30" t="s">
        <v>491</v>
      </c>
      <c r="F41" s="30">
        <v>3</v>
      </c>
      <c r="G41" s="30">
        <v>2024.7</v>
      </c>
      <c r="H41" s="30">
        <v>20</v>
      </c>
      <c r="I41" s="30">
        <v>3</v>
      </c>
      <c r="J41" s="34" t="s">
        <v>170</v>
      </c>
      <c r="K41" s="22" t="s">
        <v>492</v>
      </c>
      <c r="L41" s="22" t="s">
        <v>575</v>
      </c>
      <c r="M41" s="28" t="s">
        <v>92</v>
      </c>
      <c r="N41" s="28" t="s">
        <v>93</v>
      </c>
      <c r="O41" s="47" t="s">
        <v>411</v>
      </c>
      <c r="P41" s="34" t="s">
        <v>372</v>
      </c>
      <c r="Q41" s="27"/>
      <c r="R41" s="27"/>
      <c r="S41" s="28"/>
    </row>
    <row r="42" ht="27" spans="1:19">
      <c r="A42" s="94" t="s">
        <v>287</v>
      </c>
      <c r="B42" s="30" t="s">
        <v>25</v>
      </c>
      <c r="C42" s="30" t="s">
        <v>489</v>
      </c>
      <c r="D42" s="30" t="s">
        <v>490</v>
      </c>
      <c r="E42" s="30" t="s">
        <v>491</v>
      </c>
      <c r="F42" s="30">
        <v>3</v>
      </c>
      <c r="G42" s="30">
        <v>2024.7</v>
      </c>
      <c r="H42" s="30">
        <v>20</v>
      </c>
      <c r="I42" s="30">
        <v>3</v>
      </c>
      <c r="J42" s="34" t="s">
        <v>170</v>
      </c>
      <c r="K42" s="22" t="s">
        <v>576</v>
      </c>
      <c r="L42" s="22" t="s">
        <v>577</v>
      </c>
      <c r="M42" s="28" t="s">
        <v>92</v>
      </c>
      <c r="N42" s="28" t="s">
        <v>93</v>
      </c>
      <c r="O42" s="47" t="s">
        <v>411</v>
      </c>
      <c r="P42" s="34" t="s">
        <v>372</v>
      </c>
      <c r="Q42" s="27"/>
      <c r="R42" s="27"/>
      <c r="S42" s="28"/>
    </row>
    <row r="43" ht="27" spans="1:19">
      <c r="A43" s="94" t="s">
        <v>287</v>
      </c>
      <c r="B43" s="30" t="s">
        <v>25</v>
      </c>
      <c r="C43" s="30" t="s">
        <v>489</v>
      </c>
      <c r="D43" s="30" t="s">
        <v>490</v>
      </c>
      <c r="E43" s="30" t="s">
        <v>491</v>
      </c>
      <c r="F43" s="30">
        <v>3</v>
      </c>
      <c r="G43" s="30">
        <v>2024.7</v>
      </c>
      <c r="H43" s="30">
        <v>20</v>
      </c>
      <c r="I43" s="30">
        <v>3</v>
      </c>
      <c r="J43" s="34" t="s">
        <v>170</v>
      </c>
      <c r="K43" s="22" t="s">
        <v>578</v>
      </c>
      <c r="L43" s="22" t="s">
        <v>579</v>
      </c>
      <c r="M43" s="28" t="s">
        <v>92</v>
      </c>
      <c r="N43" s="28" t="s">
        <v>93</v>
      </c>
      <c r="O43" s="47" t="s">
        <v>411</v>
      </c>
      <c r="P43" s="34" t="s">
        <v>372</v>
      </c>
      <c r="Q43" s="27"/>
      <c r="R43" s="27"/>
      <c r="S43" s="28"/>
    </row>
  </sheetData>
  <mergeCells count="1">
    <mergeCell ref="A1:S1"/>
  </mergeCells>
  <dataValidations count="2">
    <dataValidation type="list" allowBlank="1" showInputMessage="1" showErrorMessage="1" sqref="M9 M21">
      <formula1>"销售,机械（外发）,生产,电气,测试,采购（供应商）,客户"</formula1>
    </dataValidation>
    <dataValidation allowBlank="1" showInputMessage="1" showErrorMessage="1" sqref="N9 N21"/>
  </dataValidation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4"/>
  <sheetViews>
    <sheetView workbookViewId="0">
      <pane xSplit="1" ySplit="2" topLeftCell="B39" activePane="bottomRight" state="frozen"/>
      <selection/>
      <selection pane="topRight"/>
      <selection pane="bottomLeft"/>
      <selection pane="bottomRight" activeCell="A1" sqref="A1:S1"/>
    </sheetView>
  </sheetViews>
  <sheetFormatPr defaultColWidth="11" defaultRowHeight="14.25"/>
  <cols>
    <col min="1" max="1" width="11" style="1"/>
    <col min="2" max="2" width="11" style="3"/>
    <col min="3" max="3" width="11" style="4"/>
    <col min="4" max="4" width="21.2166666666667" style="4" customWidth="1"/>
    <col min="5" max="5" width="14.1666666666667" style="3" customWidth="1"/>
    <col min="6" max="6" width="11" style="3"/>
    <col min="7" max="7" width="14.5" style="5"/>
    <col min="8" max="8" width="11.2083333333333" style="3"/>
    <col min="9" max="10" width="11" style="3"/>
    <col min="11" max="11" width="31.6416666666667" style="6" customWidth="1"/>
    <col min="12" max="12" width="40.6416666666667" style="6" customWidth="1"/>
    <col min="13" max="14" width="9.1" style="4"/>
    <col min="15" max="15" width="15" style="3" customWidth="1"/>
    <col min="16" max="16" width="10.6416666666667" style="3" customWidth="1"/>
    <col min="17" max="18" width="9.1" style="3"/>
    <col min="19" max="19" width="17.425" style="4" customWidth="1"/>
    <col min="20" max="16384" width="11" style="3"/>
  </cols>
  <sheetData>
    <row r="1" s="1" customFormat="1" ht="31.5" spans="1:19">
      <c r="A1" s="7" t="s">
        <v>350</v>
      </c>
      <c r="B1" s="8"/>
      <c r="C1" s="9"/>
      <c r="D1" s="9"/>
      <c r="E1" s="8"/>
      <c r="F1" s="8"/>
      <c r="G1" s="10"/>
      <c r="H1" s="8"/>
      <c r="I1" s="8"/>
      <c r="J1" s="8"/>
      <c r="K1" s="19"/>
      <c r="L1" s="19"/>
      <c r="M1" s="8"/>
      <c r="N1" s="8"/>
      <c r="O1" s="8"/>
      <c r="P1" s="8"/>
      <c r="Q1" s="8"/>
      <c r="R1" s="8"/>
      <c r="S1" s="26"/>
    </row>
    <row r="2" s="1" customFormat="1" ht="42.75" spans="1:19">
      <c r="A2" s="11" t="s">
        <v>1</v>
      </c>
      <c r="B2" s="12" t="s">
        <v>2</v>
      </c>
      <c r="C2" s="12" t="s">
        <v>3</v>
      </c>
      <c r="D2" s="13" t="s">
        <v>4</v>
      </c>
      <c r="E2" s="11" t="s">
        <v>5</v>
      </c>
      <c r="F2" s="12" t="s">
        <v>6</v>
      </c>
      <c r="G2" s="13" t="s">
        <v>11</v>
      </c>
      <c r="H2" s="12" t="s">
        <v>12</v>
      </c>
      <c r="I2" s="12" t="s">
        <v>13</v>
      </c>
      <c r="J2" s="12" t="s">
        <v>14</v>
      </c>
      <c r="K2" s="20" t="s">
        <v>15</v>
      </c>
      <c r="L2" s="20" t="s">
        <v>16</v>
      </c>
      <c r="M2" s="20" t="s">
        <v>17</v>
      </c>
      <c r="N2" s="20" t="s">
        <v>18</v>
      </c>
      <c r="O2" s="20" t="s">
        <v>19</v>
      </c>
      <c r="P2" s="20" t="s">
        <v>20</v>
      </c>
      <c r="Q2" s="20" t="s">
        <v>21</v>
      </c>
      <c r="R2" s="20" t="s">
        <v>22</v>
      </c>
      <c r="S2" s="20" t="s">
        <v>23</v>
      </c>
    </row>
    <row r="3" s="1" customFormat="1" ht="27" spans="1:19">
      <c r="A3" s="38" t="s">
        <v>47</v>
      </c>
      <c r="B3" s="39" t="s">
        <v>25</v>
      </c>
      <c r="C3" s="39" t="s">
        <v>48</v>
      </c>
      <c r="D3" s="29" t="s">
        <v>49</v>
      </c>
      <c r="E3" s="29" t="s">
        <v>50</v>
      </c>
      <c r="F3" s="29">
        <v>1</v>
      </c>
      <c r="G3" s="29" t="s">
        <v>51</v>
      </c>
      <c r="H3" s="29">
        <v>18</v>
      </c>
      <c r="I3" s="29">
        <v>1</v>
      </c>
      <c r="J3" s="47" t="s">
        <v>52</v>
      </c>
      <c r="K3" s="58" t="s">
        <v>53</v>
      </c>
      <c r="L3" s="58" t="s">
        <v>54</v>
      </c>
      <c r="M3" s="57" t="s">
        <v>55</v>
      </c>
      <c r="N3" s="57" t="s">
        <v>56</v>
      </c>
      <c r="O3" s="24" t="s">
        <v>57</v>
      </c>
      <c r="P3" s="59" t="s">
        <v>58</v>
      </c>
      <c r="Q3" s="57"/>
      <c r="R3" s="57"/>
      <c r="S3" s="57"/>
    </row>
    <row r="4" s="1" customFormat="1" ht="38.25" spans="1:19">
      <c r="A4" s="38" t="s">
        <v>47</v>
      </c>
      <c r="B4" s="39" t="s">
        <v>25</v>
      </c>
      <c r="C4" s="39" t="s">
        <v>48</v>
      </c>
      <c r="D4" s="29" t="s">
        <v>63</v>
      </c>
      <c r="E4" s="29" t="s">
        <v>580</v>
      </c>
      <c r="F4" s="29">
        <v>1</v>
      </c>
      <c r="G4" s="37" t="s">
        <v>39</v>
      </c>
      <c r="H4" s="29">
        <v>5</v>
      </c>
      <c r="I4" s="29">
        <v>1</v>
      </c>
      <c r="J4" s="47" t="s">
        <v>52</v>
      </c>
      <c r="K4" s="58" t="s">
        <v>65</v>
      </c>
      <c r="L4" s="58" t="s">
        <v>66</v>
      </c>
      <c r="M4" s="57" t="s">
        <v>55</v>
      </c>
      <c r="N4" s="57" t="s">
        <v>56</v>
      </c>
      <c r="O4" s="24" t="s">
        <v>57</v>
      </c>
      <c r="P4" s="59" t="s">
        <v>58</v>
      </c>
      <c r="Q4" s="74"/>
      <c r="R4" s="74"/>
      <c r="S4" s="29"/>
    </row>
    <row r="5" s="1" customFormat="1" ht="27" spans="1:19">
      <c r="A5" s="38" t="s">
        <v>47</v>
      </c>
      <c r="B5" s="39" t="s">
        <v>25</v>
      </c>
      <c r="C5" s="39" t="s">
        <v>48</v>
      </c>
      <c r="D5" s="29" t="s">
        <v>67</v>
      </c>
      <c r="E5" s="29" t="s">
        <v>68</v>
      </c>
      <c r="F5" s="29">
        <v>1</v>
      </c>
      <c r="G5" s="37" t="s">
        <v>69</v>
      </c>
      <c r="H5" s="29">
        <v>23</v>
      </c>
      <c r="I5" s="29">
        <v>1</v>
      </c>
      <c r="J5" s="47" t="s">
        <v>52</v>
      </c>
      <c r="K5" s="60" t="s">
        <v>70</v>
      </c>
      <c r="L5" s="58" t="s">
        <v>71</v>
      </c>
      <c r="M5" s="57" t="s">
        <v>55</v>
      </c>
      <c r="N5" s="57" t="s">
        <v>56</v>
      </c>
      <c r="O5" s="24" t="s">
        <v>57</v>
      </c>
      <c r="P5" s="59" t="s">
        <v>58</v>
      </c>
      <c r="Q5" s="74"/>
      <c r="R5" s="74"/>
      <c r="S5" s="29"/>
    </row>
    <row r="6" s="1" customFormat="1" spans="1:19">
      <c r="A6" s="38" t="s">
        <v>47</v>
      </c>
      <c r="B6" s="39" t="s">
        <v>25</v>
      </c>
      <c r="C6" s="39" t="s">
        <v>48</v>
      </c>
      <c r="D6" s="40" t="s">
        <v>72</v>
      </c>
      <c r="E6" s="40" t="s">
        <v>581</v>
      </c>
      <c r="F6" s="32">
        <v>1</v>
      </c>
      <c r="G6" s="32">
        <v>2024.6</v>
      </c>
      <c r="H6" s="32">
        <v>29</v>
      </c>
      <c r="I6" s="40">
        <v>1</v>
      </c>
      <c r="J6" s="47" t="s">
        <v>52</v>
      </c>
      <c r="K6" s="58" t="s">
        <v>74</v>
      </c>
      <c r="L6" s="60" t="s">
        <v>75</v>
      </c>
      <c r="M6" s="57" t="s">
        <v>55</v>
      </c>
      <c r="N6" s="57" t="s">
        <v>56</v>
      </c>
      <c r="O6" s="24" t="s">
        <v>57</v>
      </c>
      <c r="P6" s="59" t="s">
        <v>58</v>
      </c>
      <c r="Q6" s="74"/>
      <c r="R6" s="74"/>
      <c r="S6" s="29"/>
    </row>
    <row r="7" s="1" customFormat="1" ht="27" spans="1:19">
      <c r="A7" s="38" t="s">
        <v>47</v>
      </c>
      <c r="B7" s="39" t="s">
        <v>25</v>
      </c>
      <c r="C7" s="39" t="s">
        <v>48</v>
      </c>
      <c r="D7" s="47" t="s">
        <v>94</v>
      </c>
      <c r="E7" s="47" t="s">
        <v>95</v>
      </c>
      <c r="F7" s="47">
        <v>1</v>
      </c>
      <c r="G7" s="47">
        <v>2022.11</v>
      </c>
      <c r="H7" s="47">
        <v>10</v>
      </c>
      <c r="I7" s="47">
        <v>1</v>
      </c>
      <c r="J7" s="47" t="s">
        <v>52</v>
      </c>
      <c r="K7" s="58" t="s">
        <v>96</v>
      </c>
      <c r="L7" s="60" t="s">
        <v>97</v>
      </c>
      <c r="M7" s="57" t="s">
        <v>55</v>
      </c>
      <c r="N7" s="57" t="s">
        <v>56</v>
      </c>
      <c r="O7" s="61" t="s">
        <v>57</v>
      </c>
      <c r="P7" s="59" t="s">
        <v>58</v>
      </c>
      <c r="Q7" s="74"/>
      <c r="R7" s="74"/>
      <c r="S7" s="29"/>
    </row>
    <row r="8" s="1" customFormat="1" ht="15" customHeight="1" spans="1:19">
      <c r="A8" s="48" t="s">
        <v>100</v>
      </c>
      <c r="B8" s="49" t="s">
        <v>101</v>
      </c>
      <c r="C8" s="49" t="s">
        <v>102</v>
      </c>
      <c r="D8" s="49" t="s">
        <v>103</v>
      </c>
      <c r="E8" s="49" t="s">
        <v>104</v>
      </c>
      <c r="F8" s="49">
        <v>2</v>
      </c>
      <c r="G8" s="49" t="s">
        <v>29</v>
      </c>
      <c r="H8" s="49">
        <v>12</v>
      </c>
      <c r="I8" s="49">
        <v>2</v>
      </c>
      <c r="J8" s="49" t="s">
        <v>30</v>
      </c>
      <c r="K8" s="65" t="s">
        <v>111</v>
      </c>
      <c r="L8" s="65" t="s">
        <v>112</v>
      </c>
      <c r="M8" s="57" t="s">
        <v>55</v>
      </c>
      <c r="N8" s="57" t="s">
        <v>56</v>
      </c>
      <c r="O8" s="34" t="s">
        <v>57</v>
      </c>
      <c r="P8" s="51" t="s">
        <v>108</v>
      </c>
      <c r="Q8" s="74"/>
      <c r="R8" s="74"/>
      <c r="S8" s="29"/>
    </row>
    <row r="9" s="1" customFormat="1" ht="27" spans="1:19">
      <c r="A9" s="34" t="s">
        <v>100</v>
      </c>
      <c r="B9" s="50" t="s">
        <v>101</v>
      </c>
      <c r="C9" s="50" t="s">
        <v>102</v>
      </c>
      <c r="D9" s="50" t="s">
        <v>103</v>
      </c>
      <c r="E9" s="50" t="s">
        <v>104</v>
      </c>
      <c r="F9" s="50">
        <v>2</v>
      </c>
      <c r="G9" s="50" t="s">
        <v>29</v>
      </c>
      <c r="H9" s="50">
        <v>12</v>
      </c>
      <c r="I9" s="50">
        <v>2</v>
      </c>
      <c r="J9" s="49" t="s">
        <v>30</v>
      </c>
      <c r="K9" s="65" t="s">
        <v>113</v>
      </c>
      <c r="L9" s="65" t="s">
        <v>114</v>
      </c>
      <c r="M9" s="57" t="s">
        <v>55</v>
      </c>
      <c r="N9" s="57" t="s">
        <v>56</v>
      </c>
      <c r="O9" s="34" t="s">
        <v>57</v>
      </c>
      <c r="P9" s="51" t="s">
        <v>108</v>
      </c>
      <c r="Q9" s="74"/>
      <c r="R9" s="74"/>
      <c r="S9" s="29"/>
    </row>
    <row r="10" s="1" customFormat="1" ht="27" spans="1:19">
      <c r="A10" s="34" t="s">
        <v>100</v>
      </c>
      <c r="B10" s="50" t="s">
        <v>101</v>
      </c>
      <c r="C10" s="50" t="s">
        <v>102</v>
      </c>
      <c r="D10" s="50" t="s">
        <v>103</v>
      </c>
      <c r="E10" s="50" t="s">
        <v>104</v>
      </c>
      <c r="F10" s="50">
        <v>2</v>
      </c>
      <c r="G10" s="50" t="s">
        <v>29</v>
      </c>
      <c r="H10" s="50">
        <v>12</v>
      </c>
      <c r="I10" s="50">
        <v>2</v>
      </c>
      <c r="J10" s="49" t="s">
        <v>30</v>
      </c>
      <c r="K10" s="65" t="s">
        <v>115</v>
      </c>
      <c r="L10" s="65" t="s">
        <v>114</v>
      </c>
      <c r="M10" s="57" t="s">
        <v>55</v>
      </c>
      <c r="N10" s="57" t="s">
        <v>56</v>
      </c>
      <c r="O10" s="34" t="s">
        <v>57</v>
      </c>
      <c r="P10" s="51" t="s">
        <v>108</v>
      </c>
      <c r="Q10" s="74"/>
      <c r="R10" s="74"/>
      <c r="S10" s="29"/>
    </row>
    <row r="11" s="1" customFormat="1" ht="25.5" spans="1:19">
      <c r="A11" s="51" t="s">
        <v>100</v>
      </c>
      <c r="B11" s="42" t="s">
        <v>25</v>
      </c>
      <c r="C11" s="42" t="s">
        <v>116</v>
      </c>
      <c r="D11" s="42" t="s">
        <v>117</v>
      </c>
      <c r="E11" s="52" t="s">
        <v>118</v>
      </c>
      <c r="F11" s="42">
        <v>1</v>
      </c>
      <c r="G11" s="43" t="s">
        <v>119</v>
      </c>
      <c r="H11" s="42">
        <v>31</v>
      </c>
      <c r="I11" s="42">
        <v>1</v>
      </c>
      <c r="J11" s="49" t="s">
        <v>30</v>
      </c>
      <c r="K11" s="66" t="s">
        <v>120</v>
      </c>
      <c r="L11" s="66" t="s">
        <v>121</v>
      </c>
      <c r="M11" s="57" t="s">
        <v>55</v>
      </c>
      <c r="N11" s="57" t="s">
        <v>56</v>
      </c>
      <c r="O11" s="34" t="s">
        <v>57</v>
      </c>
      <c r="P11" s="51" t="s">
        <v>108</v>
      </c>
      <c r="Q11" s="74"/>
      <c r="R11" s="74"/>
      <c r="S11" s="29"/>
    </row>
    <row r="12" s="1" customFormat="1" ht="63.75" spans="1:19">
      <c r="A12" s="47" t="s">
        <v>122</v>
      </c>
      <c r="B12" s="47" t="s">
        <v>101</v>
      </c>
      <c r="C12" s="47" t="s">
        <v>123</v>
      </c>
      <c r="D12" s="47" t="s">
        <v>124</v>
      </c>
      <c r="E12" s="47" t="s">
        <v>125</v>
      </c>
      <c r="F12" s="47">
        <v>4</v>
      </c>
      <c r="G12" s="47" t="s">
        <v>78</v>
      </c>
      <c r="H12" s="47">
        <v>18</v>
      </c>
      <c r="I12" s="47">
        <v>4</v>
      </c>
      <c r="J12" s="47" t="s">
        <v>52</v>
      </c>
      <c r="K12" s="66" t="s">
        <v>126</v>
      </c>
      <c r="L12" s="66" t="s">
        <v>127</v>
      </c>
      <c r="M12" s="57" t="s">
        <v>128</v>
      </c>
      <c r="N12" s="57" t="s">
        <v>129</v>
      </c>
      <c r="O12" s="67" t="s">
        <v>57</v>
      </c>
      <c r="P12" s="67" t="s">
        <v>130</v>
      </c>
      <c r="Q12" s="74"/>
      <c r="R12" s="74"/>
      <c r="S12" s="29"/>
    </row>
    <row r="13" s="1" customFormat="1" ht="27" spans="1:19">
      <c r="A13" s="49" t="s">
        <v>122</v>
      </c>
      <c r="B13" s="49" t="s">
        <v>101</v>
      </c>
      <c r="C13" s="49" t="s">
        <v>123</v>
      </c>
      <c r="D13" s="49" t="s">
        <v>124</v>
      </c>
      <c r="E13" s="49" t="s">
        <v>125</v>
      </c>
      <c r="F13" s="49">
        <v>4</v>
      </c>
      <c r="G13" s="49" t="s">
        <v>78</v>
      </c>
      <c r="H13" s="49">
        <v>18</v>
      </c>
      <c r="I13" s="49">
        <v>4</v>
      </c>
      <c r="J13" s="49" t="s">
        <v>52</v>
      </c>
      <c r="K13" s="66" t="s">
        <v>131</v>
      </c>
      <c r="L13" s="66" t="s">
        <v>131</v>
      </c>
      <c r="M13" s="57" t="s">
        <v>55</v>
      </c>
      <c r="N13" s="57" t="s">
        <v>56</v>
      </c>
      <c r="O13" s="67" t="s">
        <v>57</v>
      </c>
      <c r="P13" s="67" t="s">
        <v>130</v>
      </c>
      <c r="Q13" s="74"/>
      <c r="R13" s="74"/>
      <c r="S13" s="29"/>
    </row>
    <row r="14" s="1" customFormat="1" ht="27" spans="1:19">
      <c r="A14" s="47" t="s">
        <v>122</v>
      </c>
      <c r="B14" s="47" t="s">
        <v>101</v>
      </c>
      <c r="C14" s="47" t="s">
        <v>123</v>
      </c>
      <c r="D14" s="47" t="s">
        <v>124</v>
      </c>
      <c r="E14" s="47" t="s">
        <v>125</v>
      </c>
      <c r="F14" s="47">
        <v>4</v>
      </c>
      <c r="G14" s="47" t="s">
        <v>78</v>
      </c>
      <c r="H14" s="47">
        <v>18</v>
      </c>
      <c r="I14" s="47">
        <v>4</v>
      </c>
      <c r="J14" s="47" t="s">
        <v>52</v>
      </c>
      <c r="K14" s="66" t="s">
        <v>132</v>
      </c>
      <c r="L14" s="66" t="s">
        <v>132</v>
      </c>
      <c r="M14" s="57" t="s">
        <v>128</v>
      </c>
      <c r="N14" s="57" t="s">
        <v>129</v>
      </c>
      <c r="O14" s="67" t="s">
        <v>57</v>
      </c>
      <c r="P14" s="67" t="s">
        <v>130</v>
      </c>
      <c r="Q14" s="74"/>
      <c r="R14" s="74"/>
      <c r="S14" s="29"/>
    </row>
    <row r="15" s="1" customFormat="1" ht="27" spans="1:19">
      <c r="A15" s="47" t="s">
        <v>122</v>
      </c>
      <c r="B15" s="47" t="s">
        <v>101</v>
      </c>
      <c r="C15" s="47" t="s">
        <v>123</v>
      </c>
      <c r="D15" s="47" t="s">
        <v>124</v>
      </c>
      <c r="E15" s="47" t="s">
        <v>125</v>
      </c>
      <c r="F15" s="47">
        <v>4</v>
      </c>
      <c r="G15" s="47" t="s">
        <v>78</v>
      </c>
      <c r="H15" s="47">
        <v>18</v>
      </c>
      <c r="I15" s="47">
        <v>4</v>
      </c>
      <c r="J15" s="47" t="s">
        <v>52</v>
      </c>
      <c r="K15" s="66" t="s">
        <v>133</v>
      </c>
      <c r="L15" s="66" t="s">
        <v>133</v>
      </c>
      <c r="M15" s="57" t="s">
        <v>128</v>
      </c>
      <c r="N15" s="57" t="s">
        <v>129</v>
      </c>
      <c r="O15" s="67" t="s">
        <v>57</v>
      </c>
      <c r="P15" s="67" t="s">
        <v>130</v>
      </c>
      <c r="Q15" s="74"/>
      <c r="R15" s="74"/>
      <c r="S15" s="29"/>
    </row>
    <row r="16" s="1" customFormat="1" ht="27" spans="1:19">
      <c r="A16" s="49" t="s">
        <v>122</v>
      </c>
      <c r="B16" s="49" t="s">
        <v>101</v>
      </c>
      <c r="C16" s="49" t="s">
        <v>123</v>
      </c>
      <c r="D16" s="49" t="s">
        <v>124</v>
      </c>
      <c r="E16" s="49" t="s">
        <v>125</v>
      </c>
      <c r="F16" s="49">
        <v>4</v>
      </c>
      <c r="G16" s="49" t="s">
        <v>78</v>
      </c>
      <c r="H16" s="49">
        <v>18</v>
      </c>
      <c r="I16" s="49">
        <v>4</v>
      </c>
      <c r="J16" s="62" t="s">
        <v>52</v>
      </c>
      <c r="K16" s="66" t="s">
        <v>134</v>
      </c>
      <c r="L16" s="66" t="s">
        <v>134</v>
      </c>
      <c r="M16" s="57" t="s">
        <v>55</v>
      </c>
      <c r="N16" s="57" t="s">
        <v>56</v>
      </c>
      <c r="O16" s="67" t="s">
        <v>57</v>
      </c>
      <c r="P16" s="67" t="s">
        <v>130</v>
      </c>
      <c r="Q16" s="74"/>
      <c r="R16" s="74"/>
      <c r="S16" s="29"/>
    </row>
    <row r="17" s="1" customFormat="1" ht="27" spans="1:19">
      <c r="A17" s="49" t="s">
        <v>122</v>
      </c>
      <c r="B17" s="49" t="s">
        <v>101</v>
      </c>
      <c r="C17" s="49" t="s">
        <v>123</v>
      </c>
      <c r="D17" s="49" t="s">
        <v>124</v>
      </c>
      <c r="E17" s="49" t="s">
        <v>125</v>
      </c>
      <c r="F17" s="49">
        <v>4</v>
      </c>
      <c r="G17" s="49" t="s">
        <v>78</v>
      </c>
      <c r="H17" s="49">
        <v>18</v>
      </c>
      <c r="I17" s="49">
        <v>4</v>
      </c>
      <c r="J17" s="47" t="s">
        <v>52</v>
      </c>
      <c r="K17" s="66" t="s">
        <v>135</v>
      </c>
      <c r="L17" s="66" t="s">
        <v>136</v>
      </c>
      <c r="M17" s="57" t="s">
        <v>55</v>
      </c>
      <c r="N17" s="57" t="s">
        <v>56</v>
      </c>
      <c r="O17" s="67" t="s">
        <v>57</v>
      </c>
      <c r="P17" s="67" t="s">
        <v>130</v>
      </c>
      <c r="Q17" s="74"/>
      <c r="R17" s="74"/>
      <c r="S17" s="29"/>
    </row>
    <row r="18" s="1" customFormat="1" ht="27" spans="1:19">
      <c r="A18" s="50" t="s">
        <v>137</v>
      </c>
      <c r="B18" s="50" t="s">
        <v>101</v>
      </c>
      <c r="C18" s="50" t="s">
        <v>138</v>
      </c>
      <c r="D18" s="50" t="s">
        <v>139</v>
      </c>
      <c r="E18" s="50" t="s">
        <v>140</v>
      </c>
      <c r="F18" s="50">
        <v>8</v>
      </c>
      <c r="G18" s="50" t="s">
        <v>141</v>
      </c>
      <c r="H18" s="50">
        <v>31</v>
      </c>
      <c r="I18" s="50">
        <v>8</v>
      </c>
      <c r="J18" s="68" t="s">
        <v>30</v>
      </c>
      <c r="K18" s="69" t="s">
        <v>160</v>
      </c>
      <c r="L18" s="69" t="s">
        <v>161</v>
      </c>
      <c r="M18" s="29" t="s">
        <v>55</v>
      </c>
      <c r="N18" s="57" t="s">
        <v>56</v>
      </c>
      <c r="O18" s="51" t="s">
        <v>57</v>
      </c>
      <c r="P18" s="51" t="s">
        <v>146</v>
      </c>
      <c r="Q18" s="74"/>
      <c r="R18" s="74"/>
      <c r="S18" s="29"/>
    </row>
    <row r="19" s="1" customFormat="1" ht="27" spans="1:19">
      <c r="A19" s="34" t="s">
        <v>189</v>
      </c>
      <c r="B19" s="47" t="s">
        <v>101</v>
      </c>
      <c r="C19" s="47" t="s">
        <v>190</v>
      </c>
      <c r="D19" s="50" t="s">
        <v>191</v>
      </c>
      <c r="E19" s="50" t="s">
        <v>192</v>
      </c>
      <c r="F19" s="50">
        <v>1</v>
      </c>
      <c r="G19" s="50">
        <v>2024.9</v>
      </c>
      <c r="H19" s="50">
        <v>21</v>
      </c>
      <c r="I19" s="50">
        <v>1</v>
      </c>
      <c r="J19" s="47" t="s">
        <v>170</v>
      </c>
      <c r="K19" s="65" t="s">
        <v>197</v>
      </c>
      <c r="L19" s="66" t="s">
        <v>198</v>
      </c>
      <c r="M19" s="29" t="s">
        <v>55</v>
      </c>
      <c r="N19" s="29" t="s">
        <v>199</v>
      </c>
      <c r="O19" s="34" t="s">
        <v>57</v>
      </c>
      <c r="P19" s="34" t="s">
        <v>146</v>
      </c>
      <c r="Q19" s="74"/>
      <c r="R19" s="74"/>
      <c r="S19" s="29"/>
    </row>
    <row r="20" s="1" customFormat="1" ht="27" spans="1:19">
      <c r="A20" s="34" t="s">
        <v>189</v>
      </c>
      <c r="B20" s="47" t="s">
        <v>101</v>
      </c>
      <c r="C20" s="47" t="s">
        <v>190</v>
      </c>
      <c r="D20" s="50" t="s">
        <v>191</v>
      </c>
      <c r="E20" s="50" t="s">
        <v>192</v>
      </c>
      <c r="F20" s="50">
        <v>1</v>
      </c>
      <c r="G20" s="50">
        <v>2024.9</v>
      </c>
      <c r="H20" s="50">
        <v>21</v>
      </c>
      <c r="I20" s="50">
        <v>1</v>
      </c>
      <c r="J20" s="47" t="s">
        <v>170</v>
      </c>
      <c r="K20" s="65" t="s">
        <v>200</v>
      </c>
      <c r="L20" s="65" t="s">
        <v>201</v>
      </c>
      <c r="M20" s="29" t="s">
        <v>55</v>
      </c>
      <c r="N20" s="29" t="s">
        <v>199</v>
      </c>
      <c r="O20" s="34" t="s">
        <v>57</v>
      </c>
      <c r="P20" s="34" t="s">
        <v>146</v>
      </c>
      <c r="Q20" s="74"/>
      <c r="R20" s="74"/>
      <c r="S20" s="29"/>
    </row>
    <row r="21" s="1" customFormat="1" ht="27" spans="1:19">
      <c r="A21" s="67" t="s">
        <v>265</v>
      </c>
      <c r="B21" s="49" t="s">
        <v>101</v>
      </c>
      <c r="C21" s="47" t="s">
        <v>266</v>
      </c>
      <c r="D21" s="47" t="s">
        <v>267</v>
      </c>
      <c r="E21" s="47" t="s">
        <v>268</v>
      </c>
      <c r="F21" s="29">
        <v>5</v>
      </c>
      <c r="G21" s="37">
        <v>2024.7</v>
      </c>
      <c r="H21" s="29">
        <v>30</v>
      </c>
      <c r="I21" s="29">
        <v>5</v>
      </c>
      <c r="J21" s="49" t="s">
        <v>52</v>
      </c>
      <c r="K21" s="65" t="s">
        <v>269</v>
      </c>
      <c r="L21" s="65" t="s">
        <v>270</v>
      </c>
      <c r="M21" s="29" t="s">
        <v>55</v>
      </c>
      <c r="N21" s="45" t="s">
        <v>271</v>
      </c>
      <c r="O21" s="47" t="s">
        <v>57</v>
      </c>
      <c r="P21" s="51" t="s">
        <v>146</v>
      </c>
      <c r="Q21" s="74"/>
      <c r="R21" s="74"/>
      <c r="S21" s="29"/>
    </row>
    <row r="22" s="2" customFormat="1" spans="1:19">
      <c r="A22" s="78" t="s">
        <v>287</v>
      </c>
      <c r="B22" s="79" t="s">
        <v>25</v>
      </c>
      <c r="C22" s="79" t="s">
        <v>288</v>
      </c>
      <c r="D22" s="79" t="s">
        <v>329</v>
      </c>
      <c r="E22" s="79" t="s">
        <v>330</v>
      </c>
      <c r="F22" s="79">
        <v>1</v>
      </c>
      <c r="G22" s="79" t="s">
        <v>119</v>
      </c>
      <c r="H22" s="79">
        <v>30</v>
      </c>
      <c r="I22" s="79">
        <v>1</v>
      </c>
      <c r="J22" s="79" t="s">
        <v>170</v>
      </c>
      <c r="K22" s="40" t="s">
        <v>331</v>
      </c>
      <c r="L22" s="29" t="s">
        <v>332</v>
      </c>
      <c r="M22" s="40" t="s">
        <v>55</v>
      </c>
      <c r="N22" s="40" t="s">
        <v>56</v>
      </c>
      <c r="O22" s="81" t="s">
        <v>57</v>
      </c>
      <c r="P22" s="81" t="s">
        <v>146</v>
      </c>
      <c r="Q22" s="32"/>
      <c r="R22" s="32"/>
      <c r="S22" s="40"/>
    </row>
    <row r="23" s="2" customFormat="1" spans="1:19">
      <c r="A23" s="78" t="s">
        <v>287</v>
      </c>
      <c r="B23" s="79" t="s">
        <v>25</v>
      </c>
      <c r="C23" s="79" t="s">
        <v>288</v>
      </c>
      <c r="D23" s="79" t="s">
        <v>329</v>
      </c>
      <c r="E23" s="79" t="s">
        <v>330</v>
      </c>
      <c r="F23" s="79">
        <v>1</v>
      </c>
      <c r="G23" s="79" t="s">
        <v>119</v>
      </c>
      <c r="H23" s="79">
        <v>30</v>
      </c>
      <c r="I23" s="79">
        <v>1</v>
      </c>
      <c r="J23" s="79" t="s">
        <v>170</v>
      </c>
      <c r="K23" s="40" t="s">
        <v>333</v>
      </c>
      <c r="L23" s="29" t="s">
        <v>334</v>
      </c>
      <c r="M23" s="40" t="s">
        <v>55</v>
      </c>
      <c r="N23" s="40" t="s">
        <v>56</v>
      </c>
      <c r="O23" s="81" t="s">
        <v>57</v>
      </c>
      <c r="P23" s="81" t="s">
        <v>146</v>
      </c>
      <c r="Q23" s="32"/>
      <c r="R23" s="32"/>
      <c r="S23" s="40"/>
    </row>
    <row r="24" s="2" customFormat="1" spans="1:19">
      <c r="A24" s="78" t="s">
        <v>287</v>
      </c>
      <c r="B24" s="79" t="s">
        <v>25</v>
      </c>
      <c r="C24" s="79" t="s">
        <v>288</v>
      </c>
      <c r="D24" s="79" t="s">
        <v>329</v>
      </c>
      <c r="E24" s="79" t="s">
        <v>330</v>
      </c>
      <c r="F24" s="79">
        <v>1</v>
      </c>
      <c r="G24" s="79" t="s">
        <v>119</v>
      </c>
      <c r="H24" s="79">
        <v>30</v>
      </c>
      <c r="I24" s="79">
        <v>1</v>
      </c>
      <c r="J24" s="79" t="s">
        <v>170</v>
      </c>
      <c r="K24" s="40" t="s">
        <v>337</v>
      </c>
      <c r="L24" s="29" t="s">
        <v>338</v>
      </c>
      <c r="M24" s="40" t="s">
        <v>55</v>
      </c>
      <c r="N24" s="40" t="s">
        <v>56</v>
      </c>
      <c r="O24" s="81" t="s">
        <v>57</v>
      </c>
      <c r="P24" s="81" t="s">
        <v>146</v>
      </c>
      <c r="Q24" s="32"/>
      <c r="R24" s="32"/>
      <c r="S24" s="40"/>
    </row>
    <row r="25" s="2" customFormat="1" ht="67.5" spans="1:19">
      <c r="A25" s="14" t="s">
        <v>47</v>
      </c>
      <c r="B25" s="14" t="s">
        <v>25</v>
      </c>
      <c r="C25" s="14" t="s">
        <v>48</v>
      </c>
      <c r="D25" s="84" t="s">
        <v>513</v>
      </c>
      <c r="E25" s="84" t="s">
        <v>514</v>
      </c>
      <c r="F25" s="84">
        <v>1</v>
      </c>
      <c r="G25" s="84" t="s">
        <v>51</v>
      </c>
      <c r="H25" s="84">
        <v>18</v>
      </c>
      <c r="I25" s="84">
        <v>1</v>
      </c>
      <c r="J25" s="21" t="s">
        <v>449</v>
      </c>
      <c r="K25" s="87" t="s">
        <v>582</v>
      </c>
      <c r="L25" s="87" t="s">
        <v>583</v>
      </c>
      <c r="M25" s="88" t="s">
        <v>55</v>
      </c>
      <c r="N25" s="57" t="s">
        <v>584</v>
      </c>
      <c r="O25" s="24" t="s">
        <v>365</v>
      </c>
      <c r="P25" s="24"/>
      <c r="Q25" s="27"/>
      <c r="R25" s="27"/>
      <c r="S25" s="28"/>
    </row>
    <row r="26" s="2" customFormat="1" ht="40.5" spans="1:19">
      <c r="A26" s="21" t="s">
        <v>122</v>
      </c>
      <c r="B26" s="21" t="s">
        <v>25</v>
      </c>
      <c r="C26" s="21" t="s">
        <v>351</v>
      </c>
      <c r="D26" s="21" t="s">
        <v>352</v>
      </c>
      <c r="E26" s="21" t="s">
        <v>353</v>
      </c>
      <c r="F26" s="21">
        <v>1</v>
      </c>
      <c r="G26" s="21" t="s">
        <v>354</v>
      </c>
      <c r="H26" s="21"/>
      <c r="I26" s="21">
        <v>1</v>
      </c>
      <c r="J26" s="21" t="s">
        <v>170</v>
      </c>
      <c r="K26" s="29" t="s">
        <v>585</v>
      </c>
      <c r="L26" s="29" t="s">
        <v>585</v>
      </c>
      <c r="M26" s="87" t="s">
        <v>55</v>
      </c>
      <c r="N26" s="89" t="s">
        <v>586</v>
      </c>
      <c r="O26" s="24" t="s">
        <v>357</v>
      </c>
      <c r="P26" s="24" t="s">
        <v>358</v>
      </c>
      <c r="Q26" s="27"/>
      <c r="R26" s="27"/>
      <c r="S26" s="28"/>
    </row>
    <row r="27" s="2" customFormat="1" ht="28.5" spans="1:19">
      <c r="A27" s="21" t="s">
        <v>122</v>
      </c>
      <c r="B27" s="21" t="s">
        <v>25</v>
      </c>
      <c r="C27" s="21" t="s">
        <v>351</v>
      </c>
      <c r="D27" s="21" t="s">
        <v>352</v>
      </c>
      <c r="E27" s="21" t="s">
        <v>353</v>
      </c>
      <c r="F27" s="21">
        <v>1</v>
      </c>
      <c r="G27" s="21" t="s">
        <v>354</v>
      </c>
      <c r="H27" s="21"/>
      <c r="I27" s="21">
        <v>1</v>
      </c>
      <c r="J27" s="21" t="s">
        <v>170</v>
      </c>
      <c r="K27" s="29" t="s">
        <v>587</v>
      </c>
      <c r="L27" s="29" t="s">
        <v>587</v>
      </c>
      <c r="M27" s="24" t="s">
        <v>55</v>
      </c>
      <c r="N27" s="30" t="s">
        <v>586</v>
      </c>
      <c r="O27" s="24" t="s">
        <v>357</v>
      </c>
      <c r="P27" s="24" t="s">
        <v>358</v>
      </c>
      <c r="Q27" s="31"/>
      <c r="R27" s="31"/>
      <c r="S27" s="30"/>
    </row>
    <row r="28" s="2" customFormat="1" ht="94.5" spans="1:19">
      <c r="A28" s="47" t="s">
        <v>137</v>
      </c>
      <c r="B28" s="47" t="s">
        <v>101</v>
      </c>
      <c r="C28" s="47" t="s">
        <v>138</v>
      </c>
      <c r="D28" s="47" t="s">
        <v>139</v>
      </c>
      <c r="E28" s="47" t="s">
        <v>362</v>
      </c>
      <c r="F28" s="47">
        <v>8</v>
      </c>
      <c r="G28" s="47" t="s">
        <v>141</v>
      </c>
      <c r="H28" s="47">
        <v>31</v>
      </c>
      <c r="I28" s="47">
        <v>8</v>
      </c>
      <c r="J28" s="47" t="s">
        <v>30</v>
      </c>
      <c r="K28" s="87" t="s">
        <v>588</v>
      </c>
      <c r="L28" s="90" t="s">
        <v>589</v>
      </c>
      <c r="M28" s="28" t="s">
        <v>590</v>
      </c>
      <c r="N28" s="57" t="s">
        <v>591</v>
      </c>
      <c r="O28" s="31" t="s">
        <v>365</v>
      </c>
      <c r="P28" s="31"/>
      <c r="Q28" s="27"/>
      <c r="R28" s="27"/>
      <c r="S28" s="28"/>
    </row>
    <row r="29" s="2" customFormat="1" ht="67.5" spans="1:19">
      <c r="A29" s="47" t="s">
        <v>137</v>
      </c>
      <c r="B29" s="47" t="s">
        <v>101</v>
      </c>
      <c r="C29" s="47" t="s">
        <v>138</v>
      </c>
      <c r="D29" s="47" t="s">
        <v>139</v>
      </c>
      <c r="E29" s="47" t="s">
        <v>362</v>
      </c>
      <c r="F29" s="47">
        <v>8</v>
      </c>
      <c r="G29" s="47" t="s">
        <v>141</v>
      </c>
      <c r="H29" s="47">
        <v>31</v>
      </c>
      <c r="I29" s="47">
        <v>8</v>
      </c>
      <c r="J29" s="47" t="s">
        <v>30</v>
      </c>
      <c r="K29" s="87" t="s">
        <v>592</v>
      </c>
      <c r="L29" s="110" t="s">
        <v>593</v>
      </c>
      <c r="M29" s="28" t="s">
        <v>55</v>
      </c>
      <c r="N29" s="57" t="s">
        <v>594</v>
      </c>
      <c r="O29" s="31" t="s">
        <v>365</v>
      </c>
      <c r="P29" s="31"/>
      <c r="Q29" s="27"/>
      <c r="R29" s="27"/>
      <c r="S29" s="28"/>
    </row>
    <row r="30" s="2" customFormat="1" ht="27" spans="1:19">
      <c r="A30" s="47" t="s">
        <v>137</v>
      </c>
      <c r="B30" s="47" t="s">
        <v>101</v>
      </c>
      <c r="C30" s="47" t="s">
        <v>138</v>
      </c>
      <c r="D30" s="47" t="s">
        <v>139</v>
      </c>
      <c r="E30" s="47" t="s">
        <v>362</v>
      </c>
      <c r="F30" s="47">
        <v>8</v>
      </c>
      <c r="G30" s="47" t="s">
        <v>141</v>
      </c>
      <c r="H30" s="47">
        <v>31</v>
      </c>
      <c r="I30" s="47">
        <v>8</v>
      </c>
      <c r="J30" s="47" t="s">
        <v>30</v>
      </c>
      <c r="K30" s="90" t="s">
        <v>595</v>
      </c>
      <c r="L30" s="90" t="s">
        <v>552</v>
      </c>
      <c r="M30" s="28" t="s">
        <v>55</v>
      </c>
      <c r="N30" s="57" t="s">
        <v>56</v>
      </c>
      <c r="O30" s="31" t="s">
        <v>365</v>
      </c>
      <c r="P30" s="31"/>
      <c r="Q30" s="27"/>
      <c r="R30" s="27"/>
      <c r="S30" s="28"/>
    </row>
    <row r="31" ht="67.5" spans="1:19">
      <c r="A31" s="47" t="s">
        <v>137</v>
      </c>
      <c r="B31" s="47" t="s">
        <v>101</v>
      </c>
      <c r="C31" s="47" t="s">
        <v>138</v>
      </c>
      <c r="D31" s="47" t="s">
        <v>139</v>
      </c>
      <c r="E31" s="47" t="s">
        <v>362</v>
      </c>
      <c r="F31" s="47">
        <v>8</v>
      </c>
      <c r="G31" s="47" t="s">
        <v>141</v>
      </c>
      <c r="H31" s="47">
        <v>31</v>
      </c>
      <c r="I31" s="47">
        <v>8</v>
      </c>
      <c r="J31" s="47" t="s">
        <v>30</v>
      </c>
      <c r="K31" s="87" t="s">
        <v>596</v>
      </c>
      <c r="L31" s="90" t="s">
        <v>597</v>
      </c>
      <c r="M31" s="28" t="s">
        <v>55</v>
      </c>
      <c r="N31" s="57" t="s">
        <v>594</v>
      </c>
      <c r="O31" s="31" t="s">
        <v>365</v>
      </c>
      <c r="P31" s="31"/>
      <c r="Q31" s="27"/>
      <c r="R31" s="27"/>
      <c r="S31" s="28"/>
    </row>
    <row r="32" ht="54" spans="1:19">
      <c r="A32" s="47" t="s">
        <v>137</v>
      </c>
      <c r="B32" s="47" t="s">
        <v>101</v>
      </c>
      <c r="C32" s="47" t="s">
        <v>138</v>
      </c>
      <c r="D32" s="47" t="s">
        <v>139</v>
      </c>
      <c r="E32" s="47" t="s">
        <v>362</v>
      </c>
      <c r="F32" s="47">
        <v>8</v>
      </c>
      <c r="G32" s="47" t="s">
        <v>141</v>
      </c>
      <c r="H32" s="47">
        <v>31</v>
      </c>
      <c r="I32" s="47">
        <v>8</v>
      </c>
      <c r="J32" s="47" t="s">
        <v>30</v>
      </c>
      <c r="K32" s="87" t="s">
        <v>598</v>
      </c>
      <c r="L32" s="89" t="s">
        <v>599</v>
      </c>
      <c r="M32" s="28" t="s">
        <v>55</v>
      </c>
      <c r="N32" s="57" t="s">
        <v>594</v>
      </c>
      <c r="O32" s="31" t="s">
        <v>365</v>
      </c>
      <c r="P32" s="31"/>
      <c r="Q32" s="27"/>
      <c r="R32" s="27"/>
      <c r="S32" s="28"/>
    </row>
    <row r="33" ht="40.5" spans="1:19">
      <c r="A33" s="47" t="s">
        <v>137</v>
      </c>
      <c r="B33" s="47" t="s">
        <v>101</v>
      </c>
      <c r="C33" s="47" t="s">
        <v>138</v>
      </c>
      <c r="D33" s="47" t="s">
        <v>139</v>
      </c>
      <c r="E33" s="47" t="s">
        <v>362</v>
      </c>
      <c r="F33" s="47">
        <v>8</v>
      </c>
      <c r="G33" s="47" t="s">
        <v>141</v>
      </c>
      <c r="H33" s="47">
        <v>31</v>
      </c>
      <c r="I33" s="47">
        <v>8</v>
      </c>
      <c r="J33" s="47" t="s">
        <v>30</v>
      </c>
      <c r="K33" s="90" t="s">
        <v>600</v>
      </c>
      <c r="L33" s="87" t="s">
        <v>601</v>
      </c>
      <c r="M33" s="28" t="s">
        <v>55</v>
      </c>
      <c r="N33" s="57" t="s">
        <v>594</v>
      </c>
      <c r="O33" s="31" t="s">
        <v>365</v>
      </c>
      <c r="P33" s="31"/>
      <c r="Q33" s="88"/>
      <c r="R33" s="27"/>
      <c r="S33" s="28"/>
    </row>
    <row r="34" ht="27" spans="1:19">
      <c r="A34" s="31" t="s">
        <v>265</v>
      </c>
      <c r="B34" s="30" t="s">
        <v>101</v>
      </c>
      <c r="C34" s="30" t="s">
        <v>123</v>
      </c>
      <c r="D34" s="30" t="s">
        <v>124</v>
      </c>
      <c r="E34" s="30" t="s">
        <v>125</v>
      </c>
      <c r="F34" s="30">
        <v>4</v>
      </c>
      <c r="G34" s="30" t="s">
        <v>78</v>
      </c>
      <c r="H34" s="30">
        <v>18</v>
      </c>
      <c r="I34" s="30">
        <v>4</v>
      </c>
      <c r="J34" s="30" t="s">
        <v>52</v>
      </c>
      <c r="K34" s="87" t="s">
        <v>602</v>
      </c>
      <c r="L34" s="87" t="s">
        <v>603</v>
      </c>
      <c r="M34" s="28" t="s">
        <v>55</v>
      </c>
      <c r="N34" s="28" t="s">
        <v>584</v>
      </c>
      <c r="O34" s="30" t="s">
        <v>365</v>
      </c>
      <c r="P34" s="31" t="s">
        <v>386</v>
      </c>
      <c r="Q34" s="27"/>
      <c r="R34" s="27"/>
      <c r="S34" s="28"/>
    </row>
    <row r="35" ht="27" spans="1:19">
      <c r="A35" s="31" t="s">
        <v>265</v>
      </c>
      <c r="B35" s="30" t="s">
        <v>101</v>
      </c>
      <c r="C35" s="30" t="s">
        <v>123</v>
      </c>
      <c r="D35" s="30" t="s">
        <v>124</v>
      </c>
      <c r="E35" s="30" t="s">
        <v>125</v>
      </c>
      <c r="F35" s="30">
        <v>4</v>
      </c>
      <c r="G35" s="30" t="s">
        <v>78</v>
      </c>
      <c r="H35" s="30">
        <v>18</v>
      </c>
      <c r="I35" s="30">
        <v>4</v>
      </c>
      <c r="J35" s="30" t="s">
        <v>52</v>
      </c>
      <c r="K35" s="87" t="s">
        <v>534</v>
      </c>
      <c r="L35" s="87" t="s">
        <v>604</v>
      </c>
      <c r="M35" s="28" t="s">
        <v>55</v>
      </c>
      <c r="N35" s="28" t="s">
        <v>584</v>
      </c>
      <c r="O35" s="30" t="s">
        <v>365</v>
      </c>
      <c r="P35" s="31" t="s">
        <v>386</v>
      </c>
      <c r="Q35" s="27"/>
      <c r="R35" s="27"/>
      <c r="S35" s="28"/>
    </row>
    <row r="36" ht="27" spans="1:19">
      <c r="A36" s="31" t="s">
        <v>265</v>
      </c>
      <c r="B36" s="30" t="s">
        <v>101</v>
      </c>
      <c r="C36" s="30" t="s">
        <v>123</v>
      </c>
      <c r="D36" s="30" t="s">
        <v>124</v>
      </c>
      <c r="E36" s="30" t="s">
        <v>125</v>
      </c>
      <c r="F36" s="30">
        <v>4</v>
      </c>
      <c r="G36" s="30" t="s">
        <v>78</v>
      </c>
      <c r="H36" s="30">
        <v>18</v>
      </c>
      <c r="I36" s="30">
        <v>4</v>
      </c>
      <c r="J36" s="30" t="s">
        <v>52</v>
      </c>
      <c r="K36" s="87" t="s">
        <v>605</v>
      </c>
      <c r="L36" s="87" t="s">
        <v>606</v>
      </c>
      <c r="M36" s="28" t="s">
        <v>55</v>
      </c>
      <c r="N36" s="28" t="s">
        <v>584</v>
      </c>
      <c r="O36" s="30" t="s">
        <v>365</v>
      </c>
      <c r="P36" s="31" t="s">
        <v>386</v>
      </c>
      <c r="Q36" s="27"/>
      <c r="R36" s="27"/>
      <c r="S36" s="28"/>
    </row>
    <row r="37" ht="27" spans="1:19">
      <c r="A37" s="31" t="s">
        <v>265</v>
      </c>
      <c r="B37" s="30" t="s">
        <v>101</v>
      </c>
      <c r="C37" s="30" t="s">
        <v>123</v>
      </c>
      <c r="D37" s="30" t="s">
        <v>124</v>
      </c>
      <c r="E37" s="30" t="s">
        <v>125</v>
      </c>
      <c r="F37" s="30">
        <v>4</v>
      </c>
      <c r="G37" s="30" t="s">
        <v>78</v>
      </c>
      <c r="H37" s="30">
        <v>18</v>
      </c>
      <c r="I37" s="30">
        <v>4</v>
      </c>
      <c r="J37" s="30" t="s">
        <v>52</v>
      </c>
      <c r="K37" s="87" t="s">
        <v>607</v>
      </c>
      <c r="L37" s="87" t="s">
        <v>608</v>
      </c>
      <c r="M37" s="28" t="s">
        <v>55</v>
      </c>
      <c r="N37" s="28" t="s">
        <v>584</v>
      </c>
      <c r="O37" s="30" t="s">
        <v>365</v>
      </c>
      <c r="P37" s="31" t="s">
        <v>386</v>
      </c>
      <c r="Q37" s="27"/>
      <c r="R37" s="27"/>
      <c r="S37" s="28"/>
    </row>
    <row r="38" spans="1:19">
      <c r="A38" s="30" t="s">
        <v>24</v>
      </c>
      <c r="B38" s="28" t="s">
        <v>25</v>
      </c>
      <c r="C38" s="109" t="s">
        <v>609</v>
      </c>
      <c r="D38" s="28" t="s">
        <v>610</v>
      </c>
      <c r="E38" s="93" t="s">
        <v>611</v>
      </c>
      <c r="F38" s="28">
        <v>4</v>
      </c>
      <c r="G38" s="28">
        <v>2024.4</v>
      </c>
      <c r="H38" s="28">
        <v>3</v>
      </c>
      <c r="I38" s="28">
        <v>4</v>
      </c>
      <c r="J38" s="28" t="s">
        <v>612</v>
      </c>
      <c r="K38" s="98" t="s">
        <v>613</v>
      </c>
      <c r="L38" s="99" t="s">
        <v>614</v>
      </c>
      <c r="M38" s="111" t="s">
        <v>55</v>
      </c>
      <c r="N38" s="99" t="s">
        <v>615</v>
      </c>
      <c r="O38" s="24" t="s">
        <v>616</v>
      </c>
      <c r="P38" s="24" t="s">
        <v>616</v>
      </c>
      <c r="Q38" s="24"/>
      <c r="R38" s="24"/>
      <c r="S38" s="24"/>
    </row>
    <row r="39" ht="40.5" spans="1:19">
      <c r="A39" s="14" t="s">
        <v>47</v>
      </c>
      <c r="B39" s="14" t="s">
        <v>25</v>
      </c>
      <c r="C39" s="14" t="s">
        <v>48</v>
      </c>
      <c r="D39" s="21" t="s">
        <v>460</v>
      </c>
      <c r="E39" s="15" t="s">
        <v>461</v>
      </c>
      <c r="F39" s="15">
        <v>1</v>
      </c>
      <c r="G39" s="15">
        <v>2025.2</v>
      </c>
      <c r="H39" s="15">
        <v>27</v>
      </c>
      <c r="I39" s="15">
        <v>1</v>
      </c>
      <c r="J39" s="21" t="s">
        <v>52</v>
      </c>
      <c r="K39" s="22" t="s">
        <v>617</v>
      </c>
      <c r="L39" s="22" t="s">
        <v>618</v>
      </c>
      <c r="M39" s="102" t="s">
        <v>55</v>
      </c>
      <c r="N39" s="23" t="s">
        <v>56</v>
      </c>
      <c r="O39" s="24" t="s">
        <v>365</v>
      </c>
      <c r="P39" s="24" t="s">
        <v>372</v>
      </c>
      <c r="Q39" s="27"/>
      <c r="R39" s="27"/>
      <c r="S39" s="28"/>
    </row>
    <row r="40" ht="40.5" spans="1:19">
      <c r="A40" s="14" t="s">
        <v>47</v>
      </c>
      <c r="B40" s="14" t="s">
        <v>25</v>
      </c>
      <c r="C40" s="14" t="s">
        <v>48</v>
      </c>
      <c r="D40" s="21" t="s">
        <v>460</v>
      </c>
      <c r="E40" s="15" t="s">
        <v>461</v>
      </c>
      <c r="F40" s="15">
        <v>1</v>
      </c>
      <c r="G40" s="15">
        <v>2025.2</v>
      </c>
      <c r="H40" s="15">
        <v>27</v>
      </c>
      <c r="I40" s="15">
        <v>1</v>
      </c>
      <c r="J40" s="21" t="s">
        <v>52</v>
      </c>
      <c r="K40" s="22" t="s">
        <v>619</v>
      </c>
      <c r="L40" s="22" t="s">
        <v>620</v>
      </c>
      <c r="M40" s="102" t="s">
        <v>55</v>
      </c>
      <c r="N40" s="23" t="s">
        <v>56</v>
      </c>
      <c r="O40" s="24" t="s">
        <v>365</v>
      </c>
      <c r="P40" s="24" t="s">
        <v>372</v>
      </c>
      <c r="Q40" s="27"/>
      <c r="R40" s="27"/>
      <c r="S40" s="28"/>
    </row>
    <row r="41" ht="108" spans="1:19">
      <c r="A41" s="14" t="s">
        <v>47</v>
      </c>
      <c r="B41" s="14" t="s">
        <v>25</v>
      </c>
      <c r="C41" s="14" t="s">
        <v>48</v>
      </c>
      <c r="D41" s="15" t="s">
        <v>447</v>
      </c>
      <c r="E41" s="15" t="s">
        <v>621</v>
      </c>
      <c r="F41" s="15">
        <v>1</v>
      </c>
      <c r="G41" s="15">
        <v>2025.3</v>
      </c>
      <c r="H41" s="15">
        <v>21</v>
      </c>
      <c r="I41" s="15">
        <v>1</v>
      </c>
      <c r="J41" s="21" t="s">
        <v>52</v>
      </c>
      <c r="K41" s="22" t="s">
        <v>622</v>
      </c>
      <c r="L41" s="23"/>
      <c r="M41" s="102" t="s">
        <v>55</v>
      </c>
      <c r="N41" s="23" t="s">
        <v>56</v>
      </c>
      <c r="O41" s="24" t="s">
        <v>365</v>
      </c>
      <c r="P41" s="24" t="s">
        <v>372</v>
      </c>
      <c r="Q41" s="27"/>
      <c r="R41" s="27"/>
      <c r="S41" s="28"/>
    </row>
    <row r="42" ht="27" spans="1:19">
      <c r="A42" s="95" t="s">
        <v>100</v>
      </c>
      <c r="B42" s="47" t="s">
        <v>101</v>
      </c>
      <c r="C42" s="47" t="s">
        <v>102</v>
      </c>
      <c r="D42" s="47" t="s">
        <v>103</v>
      </c>
      <c r="E42" s="47" t="s">
        <v>477</v>
      </c>
      <c r="F42" s="47">
        <v>4</v>
      </c>
      <c r="G42" s="47">
        <v>2024.12</v>
      </c>
      <c r="H42" s="47">
        <v>30</v>
      </c>
      <c r="I42" s="47">
        <v>4</v>
      </c>
      <c r="J42" s="103" t="s">
        <v>170</v>
      </c>
      <c r="K42" s="22" t="s">
        <v>623</v>
      </c>
      <c r="L42" s="22" t="s">
        <v>624</v>
      </c>
      <c r="M42" s="87" t="s">
        <v>55</v>
      </c>
      <c r="N42" s="104" t="s">
        <v>625</v>
      </c>
      <c r="O42" s="24" t="s">
        <v>411</v>
      </c>
      <c r="P42" s="24" t="s">
        <v>372</v>
      </c>
      <c r="Q42" s="27"/>
      <c r="R42" s="24" t="s">
        <v>372</v>
      </c>
      <c r="S42" s="28"/>
    </row>
    <row r="43" ht="27" spans="1:19">
      <c r="A43" s="95" t="s">
        <v>100</v>
      </c>
      <c r="B43" s="47" t="s">
        <v>101</v>
      </c>
      <c r="C43" s="47" t="s">
        <v>102</v>
      </c>
      <c r="D43" s="47" t="s">
        <v>103</v>
      </c>
      <c r="E43" s="47" t="s">
        <v>477</v>
      </c>
      <c r="F43" s="47">
        <v>4</v>
      </c>
      <c r="G43" s="47">
        <v>2024.12</v>
      </c>
      <c r="H43" s="47">
        <v>30</v>
      </c>
      <c r="I43" s="47">
        <v>4</v>
      </c>
      <c r="J43" s="103" t="s">
        <v>170</v>
      </c>
      <c r="K43" s="22" t="s">
        <v>626</v>
      </c>
      <c r="L43" s="22" t="s">
        <v>627</v>
      </c>
      <c r="M43" s="87" t="s">
        <v>55</v>
      </c>
      <c r="N43" s="104" t="s">
        <v>625</v>
      </c>
      <c r="O43" s="24" t="s">
        <v>411</v>
      </c>
      <c r="P43" s="24" t="s">
        <v>372</v>
      </c>
      <c r="Q43" s="27"/>
      <c r="R43" s="24" t="s">
        <v>372</v>
      </c>
      <c r="S43" s="28"/>
    </row>
    <row r="44" ht="27" spans="1:19">
      <c r="A44" s="95" t="s">
        <v>100</v>
      </c>
      <c r="B44" s="47" t="s">
        <v>101</v>
      </c>
      <c r="C44" s="47" t="s">
        <v>102</v>
      </c>
      <c r="D44" s="47" t="s">
        <v>103</v>
      </c>
      <c r="E44" s="47" t="s">
        <v>477</v>
      </c>
      <c r="F44" s="47">
        <v>4</v>
      </c>
      <c r="G44" s="47">
        <v>2024.12</v>
      </c>
      <c r="H44" s="47">
        <v>30</v>
      </c>
      <c r="I44" s="47">
        <v>4</v>
      </c>
      <c r="J44" s="103" t="s">
        <v>170</v>
      </c>
      <c r="K44" s="22" t="s">
        <v>628</v>
      </c>
      <c r="L44" s="22" t="s">
        <v>629</v>
      </c>
      <c r="M44" s="87" t="s">
        <v>55</v>
      </c>
      <c r="N44" s="104" t="s">
        <v>625</v>
      </c>
      <c r="O44" s="24" t="s">
        <v>411</v>
      </c>
      <c r="P44" s="24" t="s">
        <v>372</v>
      </c>
      <c r="Q44" s="27"/>
      <c r="R44" s="24" t="s">
        <v>372</v>
      </c>
      <c r="S44" s="28"/>
    </row>
    <row r="45" ht="27" spans="1:19">
      <c r="A45" s="95" t="s">
        <v>100</v>
      </c>
      <c r="B45" s="47" t="s">
        <v>101</v>
      </c>
      <c r="C45" s="47" t="s">
        <v>102</v>
      </c>
      <c r="D45" s="47" t="s">
        <v>103</v>
      </c>
      <c r="E45" s="47" t="s">
        <v>477</v>
      </c>
      <c r="F45" s="47">
        <v>4</v>
      </c>
      <c r="G45" s="47">
        <v>2024.12</v>
      </c>
      <c r="H45" s="47">
        <v>30</v>
      </c>
      <c r="I45" s="47">
        <v>4</v>
      </c>
      <c r="J45" s="103" t="s">
        <v>170</v>
      </c>
      <c r="K45" s="22" t="s">
        <v>630</v>
      </c>
      <c r="L45" s="22" t="s">
        <v>479</v>
      </c>
      <c r="M45" s="87" t="s">
        <v>55</v>
      </c>
      <c r="N45" s="104" t="s">
        <v>625</v>
      </c>
      <c r="O45" s="24" t="s">
        <v>411</v>
      </c>
      <c r="P45" s="24" t="s">
        <v>372</v>
      </c>
      <c r="Q45" s="27"/>
      <c r="R45" s="24" t="s">
        <v>372</v>
      </c>
      <c r="S45" s="28"/>
    </row>
    <row r="46" ht="27" spans="1:19">
      <c r="A46" s="95" t="s">
        <v>100</v>
      </c>
      <c r="B46" s="47" t="s">
        <v>101</v>
      </c>
      <c r="C46" s="47" t="s">
        <v>102</v>
      </c>
      <c r="D46" s="47" t="s">
        <v>103</v>
      </c>
      <c r="E46" s="47" t="s">
        <v>477</v>
      </c>
      <c r="F46" s="47">
        <v>4</v>
      </c>
      <c r="G46" s="47">
        <v>2024.12</v>
      </c>
      <c r="H46" s="47">
        <v>30</v>
      </c>
      <c r="I46" s="47">
        <v>4</v>
      </c>
      <c r="J46" s="103" t="s">
        <v>170</v>
      </c>
      <c r="K46" s="22" t="s">
        <v>631</v>
      </c>
      <c r="L46" s="22" t="s">
        <v>632</v>
      </c>
      <c r="M46" s="87" t="s">
        <v>55</v>
      </c>
      <c r="N46" s="104" t="s">
        <v>625</v>
      </c>
      <c r="O46" s="24" t="s">
        <v>411</v>
      </c>
      <c r="P46" s="24" t="s">
        <v>372</v>
      </c>
      <c r="Q46" s="27"/>
      <c r="R46" s="24" t="s">
        <v>372</v>
      </c>
      <c r="S46" s="28"/>
    </row>
    <row r="47" ht="27" spans="1:19">
      <c r="A47" s="95" t="s">
        <v>100</v>
      </c>
      <c r="B47" s="47" t="s">
        <v>101</v>
      </c>
      <c r="C47" s="47" t="s">
        <v>102</v>
      </c>
      <c r="D47" s="47" t="s">
        <v>103</v>
      </c>
      <c r="E47" s="47" t="s">
        <v>477</v>
      </c>
      <c r="F47" s="47">
        <v>4</v>
      </c>
      <c r="G47" s="47">
        <v>2024.12</v>
      </c>
      <c r="H47" s="47">
        <v>30</v>
      </c>
      <c r="I47" s="47">
        <v>4</v>
      </c>
      <c r="J47" s="103" t="s">
        <v>170</v>
      </c>
      <c r="K47" s="22" t="s">
        <v>633</v>
      </c>
      <c r="L47" s="22" t="s">
        <v>632</v>
      </c>
      <c r="M47" s="87" t="s">
        <v>55</v>
      </c>
      <c r="N47" s="104" t="s">
        <v>625</v>
      </c>
      <c r="O47" s="24" t="s">
        <v>411</v>
      </c>
      <c r="P47" s="24" t="s">
        <v>372</v>
      </c>
      <c r="Q47" s="27"/>
      <c r="R47" s="24" t="s">
        <v>372</v>
      </c>
      <c r="S47" s="28"/>
    </row>
    <row r="48" ht="27" spans="1:19">
      <c r="A48" s="95" t="s">
        <v>100</v>
      </c>
      <c r="B48" s="47" t="s">
        <v>101</v>
      </c>
      <c r="C48" s="47" t="s">
        <v>102</v>
      </c>
      <c r="D48" s="47" t="s">
        <v>103</v>
      </c>
      <c r="E48" s="47" t="s">
        <v>477</v>
      </c>
      <c r="F48" s="47">
        <v>4</v>
      </c>
      <c r="G48" s="47">
        <v>2024.12</v>
      </c>
      <c r="H48" s="47">
        <v>30</v>
      </c>
      <c r="I48" s="47">
        <v>4</v>
      </c>
      <c r="J48" s="103" t="s">
        <v>170</v>
      </c>
      <c r="K48" s="22" t="s">
        <v>634</v>
      </c>
      <c r="L48" s="22" t="s">
        <v>632</v>
      </c>
      <c r="M48" s="87" t="s">
        <v>55</v>
      </c>
      <c r="N48" s="104" t="s">
        <v>625</v>
      </c>
      <c r="O48" s="24" t="s">
        <v>411</v>
      </c>
      <c r="P48" s="24" t="s">
        <v>372</v>
      </c>
      <c r="Q48" s="27"/>
      <c r="R48" s="24" t="s">
        <v>372</v>
      </c>
      <c r="S48" s="28"/>
    </row>
    <row r="49" ht="27" spans="1:19">
      <c r="A49" s="95" t="s">
        <v>100</v>
      </c>
      <c r="B49" s="47" t="s">
        <v>101</v>
      </c>
      <c r="C49" s="47" t="s">
        <v>102</v>
      </c>
      <c r="D49" s="47" t="s">
        <v>103</v>
      </c>
      <c r="E49" s="47" t="s">
        <v>477</v>
      </c>
      <c r="F49" s="47">
        <v>4</v>
      </c>
      <c r="G49" s="47">
        <v>2024.12</v>
      </c>
      <c r="H49" s="47">
        <v>30</v>
      </c>
      <c r="I49" s="47">
        <v>4</v>
      </c>
      <c r="J49" s="103" t="s">
        <v>170</v>
      </c>
      <c r="K49" s="22" t="s">
        <v>635</v>
      </c>
      <c r="L49" s="22" t="s">
        <v>636</v>
      </c>
      <c r="M49" s="87" t="s">
        <v>55</v>
      </c>
      <c r="N49" s="104" t="s">
        <v>625</v>
      </c>
      <c r="O49" s="24" t="s">
        <v>411</v>
      </c>
      <c r="P49" s="24" t="s">
        <v>372</v>
      </c>
      <c r="Q49" s="27"/>
      <c r="R49" s="24" t="s">
        <v>372</v>
      </c>
      <c r="S49" s="28"/>
    </row>
    <row r="50" ht="27" spans="1:19">
      <c r="A50" s="95" t="s">
        <v>100</v>
      </c>
      <c r="B50" s="47" t="s">
        <v>101</v>
      </c>
      <c r="C50" s="47" t="s">
        <v>102</v>
      </c>
      <c r="D50" s="47" t="s">
        <v>103</v>
      </c>
      <c r="E50" s="47" t="s">
        <v>477</v>
      </c>
      <c r="F50" s="47">
        <v>4</v>
      </c>
      <c r="G50" s="47">
        <v>2024.12</v>
      </c>
      <c r="H50" s="47">
        <v>30</v>
      </c>
      <c r="I50" s="47">
        <v>4</v>
      </c>
      <c r="J50" s="103" t="s">
        <v>170</v>
      </c>
      <c r="K50" s="22" t="s">
        <v>637</v>
      </c>
      <c r="L50" s="22" t="s">
        <v>638</v>
      </c>
      <c r="M50" s="87" t="s">
        <v>55</v>
      </c>
      <c r="N50" s="104" t="s">
        <v>625</v>
      </c>
      <c r="O50" s="24" t="s">
        <v>411</v>
      </c>
      <c r="P50" s="24" t="s">
        <v>372</v>
      </c>
      <c r="Q50" s="27"/>
      <c r="R50" s="24" t="s">
        <v>372</v>
      </c>
      <c r="S50" s="28"/>
    </row>
    <row r="51" ht="27" spans="1:19">
      <c r="A51" s="95" t="s">
        <v>100</v>
      </c>
      <c r="B51" s="47" t="s">
        <v>101</v>
      </c>
      <c r="C51" s="47" t="s">
        <v>102</v>
      </c>
      <c r="D51" s="47" t="s">
        <v>103</v>
      </c>
      <c r="E51" s="47" t="s">
        <v>477</v>
      </c>
      <c r="F51" s="47">
        <v>4</v>
      </c>
      <c r="G51" s="47">
        <v>2024.12</v>
      </c>
      <c r="H51" s="47">
        <v>30</v>
      </c>
      <c r="I51" s="47">
        <v>4</v>
      </c>
      <c r="J51" s="103" t="s">
        <v>170</v>
      </c>
      <c r="K51" s="22" t="s">
        <v>639</v>
      </c>
      <c r="L51" s="22" t="s">
        <v>640</v>
      </c>
      <c r="M51" s="87" t="s">
        <v>55</v>
      </c>
      <c r="N51" s="104" t="s">
        <v>625</v>
      </c>
      <c r="O51" s="24" t="s">
        <v>411</v>
      </c>
      <c r="P51" s="24" t="s">
        <v>372</v>
      </c>
      <c r="Q51" s="27"/>
      <c r="R51" s="24" t="s">
        <v>372</v>
      </c>
      <c r="S51" s="28"/>
    </row>
    <row r="52" ht="27" spans="1:19">
      <c r="A52" s="95" t="s">
        <v>100</v>
      </c>
      <c r="B52" s="47" t="s">
        <v>101</v>
      </c>
      <c r="C52" s="47" t="s">
        <v>102</v>
      </c>
      <c r="D52" s="47" t="s">
        <v>103</v>
      </c>
      <c r="E52" s="47" t="s">
        <v>477</v>
      </c>
      <c r="F52" s="47">
        <v>4</v>
      </c>
      <c r="G52" s="47">
        <v>2024.12</v>
      </c>
      <c r="H52" s="47">
        <v>30</v>
      </c>
      <c r="I52" s="47">
        <v>4</v>
      </c>
      <c r="J52" s="103" t="s">
        <v>170</v>
      </c>
      <c r="K52" s="22" t="s">
        <v>641</v>
      </c>
      <c r="L52" s="22" t="s">
        <v>642</v>
      </c>
      <c r="M52" s="87" t="s">
        <v>55</v>
      </c>
      <c r="N52" s="104" t="s">
        <v>625</v>
      </c>
      <c r="O52" s="24" t="s">
        <v>411</v>
      </c>
      <c r="P52" s="24" t="s">
        <v>372</v>
      </c>
      <c r="Q52" s="27"/>
      <c r="R52" s="24" t="s">
        <v>372</v>
      </c>
      <c r="S52" s="28"/>
    </row>
    <row r="53" ht="27" spans="1:19">
      <c r="A53" s="95" t="s">
        <v>100</v>
      </c>
      <c r="B53" s="47" t="s">
        <v>101</v>
      </c>
      <c r="C53" s="47" t="s">
        <v>102</v>
      </c>
      <c r="D53" s="47" t="s">
        <v>103</v>
      </c>
      <c r="E53" s="47" t="s">
        <v>477</v>
      </c>
      <c r="F53" s="47">
        <v>4</v>
      </c>
      <c r="G53" s="47">
        <v>2024.12</v>
      </c>
      <c r="H53" s="47">
        <v>30</v>
      </c>
      <c r="I53" s="47">
        <v>4</v>
      </c>
      <c r="J53" s="103" t="s">
        <v>170</v>
      </c>
      <c r="K53" s="22" t="s">
        <v>643</v>
      </c>
      <c r="L53" s="22" t="s">
        <v>644</v>
      </c>
      <c r="M53" s="87" t="s">
        <v>55</v>
      </c>
      <c r="N53" s="104" t="s">
        <v>625</v>
      </c>
      <c r="O53" s="24" t="s">
        <v>411</v>
      </c>
      <c r="P53" s="24" t="s">
        <v>372</v>
      </c>
      <c r="Q53" s="27"/>
      <c r="R53" s="24" t="s">
        <v>372</v>
      </c>
      <c r="S53" s="28"/>
    </row>
    <row r="54" ht="40.5" spans="1:19">
      <c r="A54" s="30" t="s">
        <v>189</v>
      </c>
      <c r="B54" s="30" t="s">
        <v>101</v>
      </c>
      <c r="C54" s="30" t="s">
        <v>205</v>
      </c>
      <c r="D54" s="30" t="s">
        <v>206</v>
      </c>
      <c r="E54" s="30" t="s">
        <v>207</v>
      </c>
      <c r="F54" s="30">
        <v>3</v>
      </c>
      <c r="G54" s="30" t="s">
        <v>208</v>
      </c>
      <c r="H54" s="30">
        <v>13</v>
      </c>
      <c r="I54" s="30">
        <v>3</v>
      </c>
      <c r="J54" s="30"/>
      <c r="K54" s="22" t="s">
        <v>645</v>
      </c>
      <c r="L54" s="22" t="s">
        <v>646</v>
      </c>
      <c r="M54" s="87" t="s">
        <v>55</v>
      </c>
      <c r="N54" s="22" t="s">
        <v>56</v>
      </c>
      <c r="O54" s="31" t="s">
        <v>411</v>
      </c>
      <c r="P54" s="31" t="s">
        <v>372</v>
      </c>
      <c r="Q54" s="27"/>
      <c r="R54" s="27"/>
      <c r="S54" s="28"/>
    </row>
    <row r="55" ht="67.5" spans="1:19">
      <c r="A55" s="30" t="s">
        <v>189</v>
      </c>
      <c r="B55" s="30" t="s">
        <v>101</v>
      </c>
      <c r="C55" s="30" t="s">
        <v>205</v>
      </c>
      <c r="D55" s="30" t="s">
        <v>206</v>
      </c>
      <c r="E55" s="30" t="s">
        <v>207</v>
      </c>
      <c r="F55" s="30">
        <v>3</v>
      </c>
      <c r="G55" s="30" t="s">
        <v>208</v>
      </c>
      <c r="H55" s="30">
        <v>13</v>
      </c>
      <c r="I55" s="30">
        <v>3</v>
      </c>
      <c r="J55" s="30"/>
      <c r="K55" s="22" t="s">
        <v>647</v>
      </c>
      <c r="L55" s="22" t="s">
        <v>648</v>
      </c>
      <c r="M55" s="87" t="s">
        <v>55</v>
      </c>
      <c r="N55" s="22" t="s">
        <v>56</v>
      </c>
      <c r="O55" s="31" t="s">
        <v>411</v>
      </c>
      <c r="P55" s="31" t="s">
        <v>372</v>
      </c>
      <c r="Q55" s="27"/>
      <c r="R55" s="27"/>
      <c r="S55" s="28"/>
    </row>
    <row r="56" ht="40.5" spans="1:19">
      <c r="A56" s="30" t="s">
        <v>189</v>
      </c>
      <c r="B56" s="30" t="s">
        <v>101</v>
      </c>
      <c r="C56" s="30" t="s">
        <v>205</v>
      </c>
      <c r="D56" s="30" t="s">
        <v>206</v>
      </c>
      <c r="E56" s="30" t="s">
        <v>207</v>
      </c>
      <c r="F56" s="30">
        <v>3</v>
      </c>
      <c r="G56" s="30" t="s">
        <v>208</v>
      </c>
      <c r="H56" s="30">
        <v>13</v>
      </c>
      <c r="I56" s="30">
        <v>3</v>
      </c>
      <c r="J56" s="30"/>
      <c r="K56" s="22" t="s">
        <v>649</v>
      </c>
      <c r="L56" s="22" t="s">
        <v>650</v>
      </c>
      <c r="M56" s="87" t="s">
        <v>55</v>
      </c>
      <c r="N56" s="22" t="s">
        <v>56</v>
      </c>
      <c r="O56" s="31" t="s">
        <v>411</v>
      </c>
      <c r="P56" s="31" t="s">
        <v>372</v>
      </c>
      <c r="Q56" s="27"/>
      <c r="R56" s="27"/>
      <c r="S56" s="28"/>
    </row>
    <row r="57" ht="40.5" spans="1:19">
      <c r="A57" s="30" t="s">
        <v>189</v>
      </c>
      <c r="B57" s="30" t="s">
        <v>101</v>
      </c>
      <c r="C57" s="30" t="s">
        <v>205</v>
      </c>
      <c r="D57" s="30" t="s">
        <v>206</v>
      </c>
      <c r="E57" s="30" t="s">
        <v>207</v>
      </c>
      <c r="F57" s="30">
        <v>3</v>
      </c>
      <c r="G57" s="30" t="s">
        <v>208</v>
      </c>
      <c r="H57" s="30">
        <v>13</v>
      </c>
      <c r="I57" s="30">
        <v>3</v>
      </c>
      <c r="J57" s="30"/>
      <c r="K57" s="22" t="s">
        <v>651</v>
      </c>
      <c r="L57" s="22" t="s">
        <v>652</v>
      </c>
      <c r="M57" s="87" t="s">
        <v>55</v>
      </c>
      <c r="N57" s="22" t="s">
        <v>56</v>
      </c>
      <c r="O57" s="31" t="s">
        <v>411</v>
      </c>
      <c r="P57" s="31" t="s">
        <v>372</v>
      </c>
      <c r="Q57" s="27"/>
      <c r="R57" s="27"/>
      <c r="S57" s="28"/>
    </row>
    <row r="58" ht="40.5" spans="1:19">
      <c r="A58" s="30" t="s">
        <v>189</v>
      </c>
      <c r="B58" s="30" t="s">
        <v>101</v>
      </c>
      <c r="C58" s="30" t="s">
        <v>205</v>
      </c>
      <c r="D58" s="30" t="s">
        <v>206</v>
      </c>
      <c r="E58" s="30" t="s">
        <v>207</v>
      </c>
      <c r="F58" s="30">
        <v>3</v>
      </c>
      <c r="G58" s="30" t="s">
        <v>208</v>
      </c>
      <c r="H58" s="30">
        <v>13</v>
      </c>
      <c r="I58" s="30">
        <v>3</v>
      </c>
      <c r="J58" s="30"/>
      <c r="K58" s="22" t="s">
        <v>653</v>
      </c>
      <c r="L58" s="22" t="s">
        <v>654</v>
      </c>
      <c r="M58" s="87" t="s">
        <v>55</v>
      </c>
      <c r="N58" s="22" t="s">
        <v>56</v>
      </c>
      <c r="O58" s="31" t="s">
        <v>411</v>
      </c>
      <c r="P58" s="31" t="s">
        <v>372</v>
      </c>
      <c r="Q58" s="27"/>
      <c r="R58" s="27"/>
      <c r="S58" s="28"/>
    </row>
    <row r="59" ht="40.5" spans="1:19">
      <c r="A59" s="30" t="s">
        <v>189</v>
      </c>
      <c r="B59" s="30" t="s">
        <v>101</v>
      </c>
      <c r="C59" s="30" t="s">
        <v>205</v>
      </c>
      <c r="D59" s="30" t="s">
        <v>206</v>
      </c>
      <c r="E59" s="30" t="s">
        <v>207</v>
      </c>
      <c r="F59" s="30">
        <v>3</v>
      </c>
      <c r="G59" s="30" t="s">
        <v>208</v>
      </c>
      <c r="H59" s="30">
        <v>13</v>
      </c>
      <c r="I59" s="30">
        <v>3</v>
      </c>
      <c r="J59" s="30"/>
      <c r="K59" s="22" t="s">
        <v>655</v>
      </c>
      <c r="L59" s="22" t="s">
        <v>656</v>
      </c>
      <c r="M59" s="87" t="s">
        <v>55</v>
      </c>
      <c r="N59" s="22" t="s">
        <v>56</v>
      </c>
      <c r="O59" s="31" t="s">
        <v>411</v>
      </c>
      <c r="P59" s="31" t="s">
        <v>372</v>
      </c>
      <c r="Q59" s="27"/>
      <c r="R59" s="27"/>
      <c r="S59" s="28"/>
    </row>
    <row r="60" ht="27" spans="1:19">
      <c r="A60" s="30" t="s">
        <v>189</v>
      </c>
      <c r="B60" s="30" t="s">
        <v>25</v>
      </c>
      <c r="C60" s="30" t="s">
        <v>415</v>
      </c>
      <c r="D60" s="30" t="s">
        <v>416</v>
      </c>
      <c r="E60" s="30" t="s">
        <v>417</v>
      </c>
      <c r="F60" s="30">
        <v>1</v>
      </c>
      <c r="G60" s="30">
        <v>2023.12</v>
      </c>
      <c r="H60" s="30">
        <v>5</v>
      </c>
      <c r="I60" s="30">
        <v>1</v>
      </c>
      <c r="J60" s="30"/>
      <c r="K60" s="22" t="s">
        <v>657</v>
      </c>
      <c r="L60" s="22" t="s">
        <v>658</v>
      </c>
      <c r="M60" s="87" t="s">
        <v>55</v>
      </c>
      <c r="N60" s="22" t="s">
        <v>56</v>
      </c>
      <c r="O60" s="31" t="s">
        <v>411</v>
      </c>
      <c r="P60" s="31" t="s">
        <v>372</v>
      </c>
      <c r="Q60" s="27"/>
      <c r="R60" s="27"/>
      <c r="S60" s="28"/>
    </row>
    <row r="61" ht="27" spans="1:19">
      <c r="A61" s="30" t="s">
        <v>265</v>
      </c>
      <c r="B61" s="30" t="s">
        <v>101</v>
      </c>
      <c r="C61" s="30" t="s">
        <v>266</v>
      </c>
      <c r="D61" s="30" t="s">
        <v>267</v>
      </c>
      <c r="E61" s="30" t="s">
        <v>268</v>
      </c>
      <c r="F61" s="30">
        <v>2</v>
      </c>
      <c r="G61" s="30">
        <v>2024.7</v>
      </c>
      <c r="H61" s="30">
        <v>30</v>
      </c>
      <c r="I61" s="30">
        <v>2</v>
      </c>
      <c r="J61" s="30" t="s">
        <v>52</v>
      </c>
      <c r="K61" s="22" t="s">
        <v>659</v>
      </c>
      <c r="L61" s="22" t="s">
        <v>660</v>
      </c>
      <c r="M61" s="87" t="s">
        <v>55</v>
      </c>
      <c r="N61" s="22" t="s">
        <v>56</v>
      </c>
      <c r="O61" s="31" t="s">
        <v>484</v>
      </c>
      <c r="P61" s="31" t="s">
        <v>372</v>
      </c>
      <c r="Q61" s="27"/>
      <c r="R61" s="27"/>
      <c r="S61" s="28"/>
    </row>
    <row r="62" ht="27" spans="1:19">
      <c r="A62" s="30" t="s">
        <v>265</v>
      </c>
      <c r="B62" s="30" t="s">
        <v>101</v>
      </c>
      <c r="C62" s="30" t="s">
        <v>266</v>
      </c>
      <c r="D62" s="30" t="s">
        <v>267</v>
      </c>
      <c r="E62" s="30" t="s">
        <v>268</v>
      </c>
      <c r="F62" s="30">
        <v>2</v>
      </c>
      <c r="G62" s="30">
        <v>2024.7</v>
      </c>
      <c r="H62" s="30">
        <v>30</v>
      </c>
      <c r="I62" s="30">
        <v>2</v>
      </c>
      <c r="J62" s="30" t="s">
        <v>52</v>
      </c>
      <c r="K62" s="22" t="s">
        <v>661</v>
      </c>
      <c r="L62" s="22" t="s">
        <v>662</v>
      </c>
      <c r="M62" s="87" t="s">
        <v>55</v>
      </c>
      <c r="N62" s="22" t="s">
        <v>56</v>
      </c>
      <c r="O62" s="31" t="s">
        <v>484</v>
      </c>
      <c r="P62" s="31" t="s">
        <v>372</v>
      </c>
      <c r="Q62" s="27"/>
      <c r="R62" s="27"/>
      <c r="S62" s="28"/>
    </row>
    <row r="63" ht="27" spans="1:19">
      <c r="A63" s="30" t="s">
        <v>265</v>
      </c>
      <c r="B63" s="30" t="s">
        <v>101</v>
      </c>
      <c r="C63" s="30" t="s">
        <v>266</v>
      </c>
      <c r="D63" s="30" t="s">
        <v>267</v>
      </c>
      <c r="E63" s="30" t="s">
        <v>268</v>
      </c>
      <c r="F63" s="30">
        <v>2</v>
      </c>
      <c r="G63" s="30">
        <v>2024.7</v>
      </c>
      <c r="H63" s="30">
        <v>30</v>
      </c>
      <c r="I63" s="30">
        <v>2</v>
      </c>
      <c r="J63" s="30" t="s">
        <v>52</v>
      </c>
      <c r="K63" s="22" t="s">
        <v>663</v>
      </c>
      <c r="L63" s="22" t="s">
        <v>664</v>
      </c>
      <c r="M63" s="87" t="s">
        <v>55</v>
      </c>
      <c r="N63" s="22" t="s">
        <v>56</v>
      </c>
      <c r="O63" s="31" t="s">
        <v>484</v>
      </c>
      <c r="P63" s="31" t="s">
        <v>372</v>
      </c>
      <c r="Q63" s="27"/>
      <c r="R63" s="27"/>
      <c r="S63" s="28"/>
    </row>
    <row r="64" ht="28.5" spans="1:19">
      <c r="A64" s="34" t="s">
        <v>439</v>
      </c>
      <c r="B64" s="34" t="s">
        <v>101</v>
      </c>
      <c r="C64" s="34" t="s">
        <v>440</v>
      </c>
      <c r="D64" s="34" t="s">
        <v>441</v>
      </c>
      <c r="E64" s="34" t="s">
        <v>442</v>
      </c>
      <c r="F64" s="34">
        <v>11</v>
      </c>
      <c r="G64" s="34">
        <v>2025.2</v>
      </c>
      <c r="H64" s="34">
        <v>22</v>
      </c>
      <c r="I64" s="34">
        <v>11</v>
      </c>
      <c r="J64" s="34" t="s">
        <v>443</v>
      </c>
      <c r="K64" s="22" t="s">
        <v>665</v>
      </c>
      <c r="L64" s="22" t="s">
        <v>666</v>
      </c>
      <c r="M64" s="28" t="s">
        <v>55</v>
      </c>
      <c r="N64" s="28" t="s">
        <v>615</v>
      </c>
      <c r="O64" s="34" t="s">
        <v>411</v>
      </c>
      <c r="P64" s="34" t="s">
        <v>372</v>
      </c>
      <c r="Q64" s="27"/>
      <c r="R64" s="27"/>
      <c r="S64" s="28"/>
    </row>
  </sheetData>
  <mergeCells count="1">
    <mergeCell ref="A1:S1"/>
  </mergeCells>
  <dataValidations count="2">
    <dataValidation type="list" allowBlank="1" showInputMessage="1" showErrorMessage="1" sqref="M38">
      <formula1>"销售,机械（外发）,生产,电气,测试,采购（供应商）,客户"</formula1>
    </dataValidation>
    <dataValidation allowBlank="1" showInputMessage="1" showErrorMessage="1" sqref="N38"/>
  </dataValidation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44"/>
  <sheetViews>
    <sheetView workbookViewId="0">
      <pane xSplit="1" ySplit="2" topLeftCell="B125" activePane="bottomRight" state="frozen"/>
      <selection/>
      <selection pane="topRight"/>
      <selection pane="bottomLeft"/>
      <selection pane="bottomRight" activeCell="A1" sqref="A1:S1"/>
    </sheetView>
  </sheetViews>
  <sheetFormatPr defaultColWidth="11" defaultRowHeight="14.25"/>
  <cols>
    <col min="1" max="1" width="11" style="1"/>
    <col min="2" max="2" width="11" style="3"/>
    <col min="3" max="3" width="11" style="4"/>
    <col min="4" max="4" width="21.2166666666667" style="4" customWidth="1"/>
    <col min="5" max="5" width="14.1666666666667" style="3" customWidth="1"/>
    <col min="6" max="6" width="11" style="3"/>
    <col min="7" max="7" width="14.5" style="5"/>
    <col min="8" max="8" width="11.2083333333333" style="3"/>
    <col min="9" max="10" width="11" style="3"/>
    <col min="11" max="11" width="31.6416666666667" style="6" customWidth="1"/>
    <col min="12" max="12" width="40.6416666666667" style="6" customWidth="1"/>
    <col min="13" max="14" width="9.1" style="4"/>
    <col min="15" max="15" width="15" style="3" customWidth="1"/>
    <col min="16" max="16" width="10.6416666666667" style="3" customWidth="1"/>
    <col min="17" max="18" width="9.1" style="3"/>
    <col min="19" max="19" width="17.425" style="4" customWidth="1"/>
    <col min="20" max="16384" width="11" style="3"/>
  </cols>
  <sheetData>
    <row r="1" s="1" customFormat="1" ht="31.5" spans="1:19">
      <c r="A1" s="7" t="s">
        <v>350</v>
      </c>
      <c r="B1" s="8"/>
      <c r="C1" s="9"/>
      <c r="D1" s="9"/>
      <c r="E1" s="8"/>
      <c r="F1" s="8"/>
      <c r="G1" s="10"/>
      <c r="H1" s="8"/>
      <c r="I1" s="8"/>
      <c r="J1" s="8"/>
      <c r="K1" s="19"/>
      <c r="L1" s="19"/>
      <c r="M1" s="8"/>
      <c r="N1" s="8"/>
      <c r="O1" s="8"/>
      <c r="P1" s="8"/>
      <c r="Q1" s="8"/>
      <c r="R1" s="8"/>
      <c r="S1" s="26"/>
    </row>
    <row r="2" s="1" customFormat="1" ht="42.75" spans="1:19">
      <c r="A2" s="11" t="s">
        <v>1</v>
      </c>
      <c r="B2" s="12" t="s">
        <v>2</v>
      </c>
      <c r="C2" s="12" t="s">
        <v>3</v>
      </c>
      <c r="D2" s="13" t="s">
        <v>4</v>
      </c>
      <c r="E2" s="11" t="s">
        <v>5</v>
      </c>
      <c r="F2" s="12" t="s">
        <v>6</v>
      </c>
      <c r="G2" s="13" t="s">
        <v>11</v>
      </c>
      <c r="H2" s="12" t="s">
        <v>12</v>
      </c>
      <c r="I2" s="12" t="s">
        <v>13</v>
      </c>
      <c r="J2" s="12" t="s">
        <v>14</v>
      </c>
      <c r="K2" s="20" t="s">
        <v>15</v>
      </c>
      <c r="L2" s="20" t="s">
        <v>16</v>
      </c>
      <c r="M2" s="20" t="s">
        <v>17</v>
      </c>
      <c r="N2" s="20" t="s">
        <v>18</v>
      </c>
      <c r="O2" s="20" t="s">
        <v>19</v>
      </c>
      <c r="P2" s="20" t="s">
        <v>20</v>
      </c>
      <c r="Q2" s="20" t="s">
        <v>21</v>
      </c>
      <c r="R2" s="20" t="s">
        <v>22</v>
      </c>
      <c r="S2" s="20" t="s">
        <v>23</v>
      </c>
    </row>
    <row r="3" s="32" customFormat="1" ht="54" spans="1:19">
      <c r="A3" s="34" t="s">
        <v>24</v>
      </c>
      <c r="B3" s="29" t="s">
        <v>25</v>
      </c>
      <c r="C3" s="29" t="s">
        <v>36</v>
      </c>
      <c r="D3" s="35" t="s">
        <v>37</v>
      </c>
      <c r="E3" s="35" t="s">
        <v>38</v>
      </c>
      <c r="F3" s="29">
        <v>1</v>
      </c>
      <c r="G3" s="37" t="s">
        <v>39</v>
      </c>
      <c r="H3" s="29">
        <v>4</v>
      </c>
      <c r="I3" s="29">
        <v>1</v>
      </c>
      <c r="J3" s="47" t="s">
        <v>40</v>
      </c>
      <c r="K3" s="56" t="s">
        <v>41</v>
      </c>
      <c r="L3" s="56" t="s">
        <v>42</v>
      </c>
      <c r="M3" s="57" t="s">
        <v>43</v>
      </c>
      <c r="N3" s="57" t="s">
        <v>44</v>
      </c>
      <c r="O3" s="57" t="s">
        <v>45</v>
      </c>
      <c r="P3" s="57" t="s">
        <v>46</v>
      </c>
      <c r="Q3" s="57"/>
      <c r="R3" s="57"/>
      <c r="S3" s="57"/>
    </row>
    <row r="4" s="1" customFormat="1" ht="63.75" spans="1:19">
      <c r="A4" s="38" t="s">
        <v>47</v>
      </c>
      <c r="B4" s="41" t="s">
        <v>25</v>
      </c>
      <c r="C4" s="41" t="s">
        <v>48</v>
      </c>
      <c r="D4" s="42" t="s">
        <v>76</v>
      </c>
      <c r="E4" s="42" t="s">
        <v>77</v>
      </c>
      <c r="F4" s="42">
        <v>1</v>
      </c>
      <c r="G4" s="43" t="s">
        <v>78</v>
      </c>
      <c r="H4" s="42">
        <v>31</v>
      </c>
      <c r="I4" s="42">
        <v>1</v>
      </c>
      <c r="J4" s="50" t="s">
        <v>52</v>
      </c>
      <c r="K4" s="58" t="s">
        <v>79</v>
      </c>
      <c r="L4" s="58" t="s">
        <v>80</v>
      </c>
      <c r="M4" s="57" t="s">
        <v>81</v>
      </c>
      <c r="N4" s="57" t="s">
        <v>82</v>
      </c>
      <c r="O4" s="24" t="s">
        <v>57</v>
      </c>
      <c r="P4" s="59" t="s">
        <v>58</v>
      </c>
      <c r="Q4" s="74"/>
      <c r="R4" s="74"/>
      <c r="S4" s="29"/>
    </row>
    <row r="5" s="1" customFormat="1" ht="27" spans="1:19">
      <c r="A5" s="50" t="s">
        <v>137</v>
      </c>
      <c r="B5" s="50" t="s">
        <v>101</v>
      </c>
      <c r="C5" s="50" t="s">
        <v>138</v>
      </c>
      <c r="D5" s="50" t="s">
        <v>139</v>
      </c>
      <c r="E5" s="50" t="s">
        <v>362</v>
      </c>
      <c r="F5" s="50">
        <v>8</v>
      </c>
      <c r="G5" s="50" t="s">
        <v>141</v>
      </c>
      <c r="H5" s="50">
        <v>31</v>
      </c>
      <c r="I5" s="50">
        <v>8</v>
      </c>
      <c r="J5" s="68" t="s">
        <v>30</v>
      </c>
      <c r="K5" s="69" t="s">
        <v>142</v>
      </c>
      <c r="L5" s="69" t="s">
        <v>143</v>
      </c>
      <c r="M5" s="29" t="s">
        <v>144</v>
      </c>
      <c r="N5" s="57" t="s">
        <v>145</v>
      </c>
      <c r="O5" s="51" t="s">
        <v>57</v>
      </c>
      <c r="P5" s="51" t="s">
        <v>146</v>
      </c>
      <c r="Q5" s="74"/>
      <c r="R5" s="74"/>
      <c r="S5" s="29"/>
    </row>
    <row r="6" s="1" customFormat="1" ht="27" spans="1:19">
      <c r="A6" s="50" t="s">
        <v>137</v>
      </c>
      <c r="B6" s="50" t="s">
        <v>101</v>
      </c>
      <c r="C6" s="50" t="s">
        <v>138</v>
      </c>
      <c r="D6" s="50" t="s">
        <v>139</v>
      </c>
      <c r="E6" s="50" t="s">
        <v>362</v>
      </c>
      <c r="F6" s="50">
        <v>8</v>
      </c>
      <c r="G6" s="50" t="s">
        <v>141</v>
      </c>
      <c r="H6" s="50">
        <v>31</v>
      </c>
      <c r="I6" s="50">
        <v>8</v>
      </c>
      <c r="J6" s="68" t="s">
        <v>30</v>
      </c>
      <c r="K6" s="69" t="s">
        <v>143</v>
      </c>
      <c r="L6" s="69" t="s">
        <v>147</v>
      </c>
      <c r="M6" s="29" t="s">
        <v>148</v>
      </c>
      <c r="N6" s="57" t="s">
        <v>149</v>
      </c>
      <c r="O6" s="51" t="s">
        <v>57</v>
      </c>
      <c r="P6" s="51" t="s">
        <v>146</v>
      </c>
      <c r="Q6" s="74"/>
      <c r="R6" s="74"/>
      <c r="S6" s="29"/>
    </row>
    <row r="7" s="1" customFormat="1" ht="40.5" spans="1:19">
      <c r="A7" s="50" t="s">
        <v>137</v>
      </c>
      <c r="B7" s="50" t="s">
        <v>101</v>
      </c>
      <c r="C7" s="50" t="s">
        <v>138</v>
      </c>
      <c r="D7" s="50" t="s">
        <v>139</v>
      </c>
      <c r="E7" s="50" t="s">
        <v>362</v>
      </c>
      <c r="F7" s="50">
        <v>8</v>
      </c>
      <c r="G7" s="50" t="s">
        <v>141</v>
      </c>
      <c r="H7" s="50">
        <v>31</v>
      </c>
      <c r="I7" s="50">
        <v>8</v>
      </c>
      <c r="J7" s="68" t="s">
        <v>30</v>
      </c>
      <c r="K7" s="69" t="s">
        <v>150</v>
      </c>
      <c r="L7" s="69" t="s">
        <v>151</v>
      </c>
      <c r="M7" s="29" t="s">
        <v>148</v>
      </c>
      <c r="N7" s="57" t="s">
        <v>149</v>
      </c>
      <c r="O7" s="51" t="s">
        <v>57</v>
      </c>
      <c r="P7" s="51" t="s">
        <v>146</v>
      </c>
      <c r="Q7" s="74"/>
      <c r="R7" s="74"/>
      <c r="S7" s="29"/>
    </row>
    <row r="8" s="1" customFormat="1" ht="40.5" spans="1:19">
      <c r="A8" s="50" t="s">
        <v>137</v>
      </c>
      <c r="B8" s="50" t="s">
        <v>101</v>
      </c>
      <c r="C8" s="50" t="s">
        <v>138</v>
      </c>
      <c r="D8" s="50" t="s">
        <v>139</v>
      </c>
      <c r="E8" s="50" t="s">
        <v>362</v>
      </c>
      <c r="F8" s="50">
        <v>8</v>
      </c>
      <c r="G8" s="50" t="s">
        <v>141</v>
      </c>
      <c r="H8" s="50">
        <v>31</v>
      </c>
      <c r="I8" s="50">
        <v>8</v>
      </c>
      <c r="J8" s="68" t="s">
        <v>30</v>
      </c>
      <c r="K8" s="69" t="s">
        <v>150</v>
      </c>
      <c r="L8" s="69" t="s">
        <v>152</v>
      </c>
      <c r="M8" s="29" t="s">
        <v>148</v>
      </c>
      <c r="N8" s="57" t="s">
        <v>149</v>
      </c>
      <c r="O8" s="51" t="s">
        <v>57</v>
      </c>
      <c r="P8" s="51" t="s">
        <v>146</v>
      </c>
      <c r="Q8" s="74"/>
      <c r="R8" s="74"/>
      <c r="S8" s="29"/>
    </row>
    <row r="9" s="1" customFormat="1" ht="27" spans="1:19">
      <c r="A9" s="50" t="s">
        <v>137</v>
      </c>
      <c r="B9" s="50" t="s">
        <v>101</v>
      </c>
      <c r="C9" s="50" t="s">
        <v>138</v>
      </c>
      <c r="D9" s="50" t="s">
        <v>139</v>
      </c>
      <c r="E9" s="50" t="s">
        <v>362</v>
      </c>
      <c r="F9" s="50">
        <v>8</v>
      </c>
      <c r="G9" s="50" t="s">
        <v>141</v>
      </c>
      <c r="H9" s="50">
        <v>31</v>
      </c>
      <c r="I9" s="50">
        <v>8</v>
      </c>
      <c r="J9" s="68" t="s">
        <v>30</v>
      </c>
      <c r="K9" s="69" t="s">
        <v>151</v>
      </c>
      <c r="L9" s="69" t="s">
        <v>153</v>
      </c>
      <c r="M9" s="29" t="s">
        <v>148</v>
      </c>
      <c r="N9" s="57" t="s">
        <v>149</v>
      </c>
      <c r="O9" s="51" t="s">
        <v>57</v>
      </c>
      <c r="P9" s="51" t="s">
        <v>146</v>
      </c>
      <c r="Q9" s="74"/>
      <c r="R9" s="74"/>
      <c r="S9" s="29"/>
    </row>
    <row r="10" s="1" customFormat="1" ht="27" spans="1:19">
      <c r="A10" s="50" t="s">
        <v>137</v>
      </c>
      <c r="B10" s="50" t="s">
        <v>101</v>
      </c>
      <c r="C10" s="50" t="s">
        <v>138</v>
      </c>
      <c r="D10" s="50" t="s">
        <v>139</v>
      </c>
      <c r="E10" s="50" t="s">
        <v>362</v>
      </c>
      <c r="F10" s="50">
        <v>8</v>
      </c>
      <c r="G10" s="50" t="s">
        <v>141</v>
      </c>
      <c r="H10" s="50">
        <v>31</v>
      </c>
      <c r="I10" s="50">
        <v>8</v>
      </c>
      <c r="J10" s="68" t="s">
        <v>30</v>
      </c>
      <c r="K10" s="69" t="s">
        <v>154</v>
      </c>
      <c r="L10" s="69" t="s">
        <v>155</v>
      </c>
      <c r="M10" s="29" t="s">
        <v>148</v>
      </c>
      <c r="N10" s="57" t="s">
        <v>149</v>
      </c>
      <c r="O10" s="51" t="s">
        <v>57</v>
      </c>
      <c r="P10" s="51" t="s">
        <v>146</v>
      </c>
      <c r="Q10" s="74"/>
      <c r="R10" s="74"/>
      <c r="S10" s="29"/>
    </row>
    <row r="11" s="1" customFormat="1" ht="27" spans="1:19">
      <c r="A11" s="50" t="s">
        <v>137</v>
      </c>
      <c r="B11" s="50" t="s">
        <v>101</v>
      </c>
      <c r="C11" s="50" t="s">
        <v>138</v>
      </c>
      <c r="D11" s="50" t="s">
        <v>139</v>
      </c>
      <c r="E11" s="50" t="s">
        <v>362</v>
      </c>
      <c r="F11" s="50">
        <v>8</v>
      </c>
      <c r="G11" s="50" t="s">
        <v>141</v>
      </c>
      <c r="H11" s="50">
        <v>31</v>
      </c>
      <c r="I11" s="50">
        <v>8</v>
      </c>
      <c r="J11" s="68" t="s">
        <v>30</v>
      </c>
      <c r="K11" s="69" t="s">
        <v>154</v>
      </c>
      <c r="L11" s="69" t="s">
        <v>156</v>
      </c>
      <c r="M11" s="29" t="s">
        <v>144</v>
      </c>
      <c r="N11" s="57" t="s">
        <v>145</v>
      </c>
      <c r="O11" s="51" t="s">
        <v>57</v>
      </c>
      <c r="P11" s="51" t="s">
        <v>146</v>
      </c>
      <c r="Q11" s="74"/>
      <c r="R11" s="74"/>
      <c r="S11" s="29"/>
    </row>
    <row r="12" s="1" customFormat="1" ht="27" spans="1:19">
      <c r="A12" s="50" t="s">
        <v>137</v>
      </c>
      <c r="B12" s="50" t="s">
        <v>101</v>
      </c>
      <c r="C12" s="50" t="s">
        <v>138</v>
      </c>
      <c r="D12" s="50" t="s">
        <v>139</v>
      </c>
      <c r="E12" s="50" t="s">
        <v>362</v>
      </c>
      <c r="F12" s="50">
        <v>8</v>
      </c>
      <c r="G12" s="50" t="s">
        <v>141</v>
      </c>
      <c r="H12" s="50">
        <v>31</v>
      </c>
      <c r="I12" s="50">
        <v>8</v>
      </c>
      <c r="J12" s="68" t="s">
        <v>30</v>
      </c>
      <c r="K12" s="69" t="s">
        <v>157</v>
      </c>
      <c r="L12" s="69" t="s">
        <v>158</v>
      </c>
      <c r="M12" s="29" t="s">
        <v>148</v>
      </c>
      <c r="N12" s="57" t="s">
        <v>149</v>
      </c>
      <c r="O12" s="51" t="s">
        <v>57</v>
      </c>
      <c r="P12" s="51" t="s">
        <v>146</v>
      </c>
      <c r="Q12" s="74"/>
      <c r="R12" s="74"/>
      <c r="S12" s="29"/>
    </row>
    <row r="13" s="1" customFormat="1" ht="27" spans="1:19">
      <c r="A13" s="50" t="s">
        <v>137</v>
      </c>
      <c r="B13" s="50" t="s">
        <v>101</v>
      </c>
      <c r="C13" s="50" t="s">
        <v>138</v>
      </c>
      <c r="D13" s="50" t="s">
        <v>139</v>
      </c>
      <c r="E13" s="50" t="s">
        <v>362</v>
      </c>
      <c r="F13" s="50">
        <v>8</v>
      </c>
      <c r="G13" s="50" t="s">
        <v>141</v>
      </c>
      <c r="H13" s="50">
        <v>31</v>
      </c>
      <c r="I13" s="50">
        <v>8</v>
      </c>
      <c r="J13" s="68" t="s">
        <v>30</v>
      </c>
      <c r="K13" s="69" t="s">
        <v>157</v>
      </c>
      <c r="L13" s="69" t="s">
        <v>159</v>
      </c>
      <c r="M13" s="29" t="s">
        <v>148</v>
      </c>
      <c r="N13" s="57" t="s">
        <v>149</v>
      </c>
      <c r="O13" s="51" t="s">
        <v>57</v>
      </c>
      <c r="P13" s="51" t="s">
        <v>146</v>
      </c>
      <c r="Q13" s="74"/>
      <c r="R13" s="74"/>
      <c r="S13" s="29"/>
    </row>
    <row r="14" s="1" customFormat="1" ht="27" spans="1:19">
      <c r="A14" s="50" t="s">
        <v>137</v>
      </c>
      <c r="B14" s="50" t="s">
        <v>101</v>
      </c>
      <c r="C14" s="50" t="s">
        <v>138</v>
      </c>
      <c r="D14" s="50" t="s">
        <v>139</v>
      </c>
      <c r="E14" s="50" t="s">
        <v>362</v>
      </c>
      <c r="F14" s="50">
        <v>8</v>
      </c>
      <c r="G14" s="50" t="s">
        <v>141</v>
      </c>
      <c r="H14" s="50">
        <v>31</v>
      </c>
      <c r="I14" s="50">
        <v>8</v>
      </c>
      <c r="J14" s="68" t="s">
        <v>30</v>
      </c>
      <c r="K14" s="69" t="s">
        <v>162</v>
      </c>
      <c r="L14" s="69" t="s">
        <v>163</v>
      </c>
      <c r="M14" s="29" t="s">
        <v>144</v>
      </c>
      <c r="N14" s="57" t="s">
        <v>145</v>
      </c>
      <c r="O14" s="51" t="s">
        <v>57</v>
      </c>
      <c r="P14" s="51" t="s">
        <v>146</v>
      </c>
      <c r="Q14" s="74"/>
      <c r="R14" s="74"/>
      <c r="S14" s="29"/>
    </row>
    <row r="15" s="1" customFormat="1" ht="27" spans="1:19">
      <c r="A15" s="50" t="s">
        <v>137</v>
      </c>
      <c r="B15" s="50" t="s">
        <v>101</v>
      </c>
      <c r="C15" s="50" t="s">
        <v>138</v>
      </c>
      <c r="D15" s="50" t="s">
        <v>139</v>
      </c>
      <c r="E15" s="50" t="s">
        <v>362</v>
      </c>
      <c r="F15" s="50">
        <v>8</v>
      </c>
      <c r="G15" s="50" t="s">
        <v>141</v>
      </c>
      <c r="H15" s="50">
        <v>31</v>
      </c>
      <c r="I15" s="50">
        <v>8</v>
      </c>
      <c r="J15" s="68" t="s">
        <v>30</v>
      </c>
      <c r="K15" s="69" t="s">
        <v>162</v>
      </c>
      <c r="L15" s="69" t="s">
        <v>164</v>
      </c>
      <c r="M15" s="29" t="s">
        <v>144</v>
      </c>
      <c r="N15" s="57" t="s">
        <v>145</v>
      </c>
      <c r="O15" s="51" t="s">
        <v>57</v>
      </c>
      <c r="P15" s="51" t="s">
        <v>146</v>
      </c>
      <c r="Q15" s="74"/>
      <c r="R15" s="74"/>
      <c r="S15" s="29"/>
    </row>
    <row r="16" s="1" customFormat="1" ht="27" spans="1:19">
      <c r="A16" s="50" t="s">
        <v>137</v>
      </c>
      <c r="B16" s="50" t="s">
        <v>101</v>
      </c>
      <c r="C16" s="50" t="s">
        <v>138</v>
      </c>
      <c r="D16" s="50" t="s">
        <v>139</v>
      </c>
      <c r="E16" s="50" t="s">
        <v>362</v>
      </c>
      <c r="F16" s="50">
        <v>8</v>
      </c>
      <c r="G16" s="50" t="s">
        <v>141</v>
      </c>
      <c r="H16" s="50">
        <v>31</v>
      </c>
      <c r="I16" s="50">
        <v>8</v>
      </c>
      <c r="J16" s="68" t="s">
        <v>30</v>
      </c>
      <c r="K16" s="69" t="s">
        <v>162</v>
      </c>
      <c r="L16" s="69" t="s">
        <v>165</v>
      </c>
      <c r="M16" s="29" t="s">
        <v>148</v>
      </c>
      <c r="N16" s="57" t="s">
        <v>149</v>
      </c>
      <c r="O16" s="51" t="s">
        <v>57</v>
      </c>
      <c r="P16" s="51" t="s">
        <v>146</v>
      </c>
      <c r="Q16" s="74"/>
      <c r="R16" s="74"/>
      <c r="S16" s="29"/>
    </row>
    <row r="17" s="1" customFormat="1" ht="54" spans="1:19">
      <c r="A17" s="49" t="s">
        <v>166</v>
      </c>
      <c r="B17" s="50" t="s">
        <v>101</v>
      </c>
      <c r="C17" s="50" t="s">
        <v>167</v>
      </c>
      <c r="D17" s="50" t="s">
        <v>168</v>
      </c>
      <c r="E17" s="50" t="s">
        <v>169</v>
      </c>
      <c r="F17" s="50">
        <v>2</v>
      </c>
      <c r="G17" s="41" t="s">
        <v>39</v>
      </c>
      <c r="H17" s="50">
        <v>5</v>
      </c>
      <c r="I17" s="50">
        <v>2</v>
      </c>
      <c r="J17" s="49" t="s">
        <v>170</v>
      </c>
      <c r="K17" s="70" t="s">
        <v>171</v>
      </c>
      <c r="L17" s="69" t="s">
        <v>172</v>
      </c>
      <c r="M17" s="29" t="s">
        <v>148</v>
      </c>
      <c r="N17" s="57" t="s">
        <v>149</v>
      </c>
      <c r="O17" s="71" t="s">
        <v>57</v>
      </c>
      <c r="P17" s="72" t="s">
        <v>146</v>
      </c>
      <c r="Q17" s="74"/>
      <c r="R17" s="74"/>
      <c r="S17" s="29"/>
    </row>
    <row r="18" s="1" customFormat="1" ht="27" spans="1:19">
      <c r="A18" s="51" t="s">
        <v>217</v>
      </c>
      <c r="B18" s="47" t="s">
        <v>101</v>
      </c>
      <c r="C18" s="47" t="s">
        <v>218</v>
      </c>
      <c r="D18" s="50" t="s">
        <v>219</v>
      </c>
      <c r="E18" s="50" t="s">
        <v>220</v>
      </c>
      <c r="F18" s="50">
        <v>60</v>
      </c>
      <c r="G18" s="50">
        <v>2024.3</v>
      </c>
      <c r="H18" s="50">
        <v>4</v>
      </c>
      <c r="I18" s="50">
        <v>60</v>
      </c>
      <c r="J18" s="47" t="s">
        <v>30</v>
      </c>
      <c r="K18" s="65" t="s">
        <v>221</v>
      </c>
      <c r="L18" s="65" t="s">
        <v>222</v>
      </c>
      <c r="M18" s="29" t="s">
        <v>144</v>
      </c>
      <c r="N18" s="29" t="s">
        <v>223</v>
      </c>
      <c r="O18" s="50" t="s">
        <v>57</v>
      </c>
      <c r="P18" s="51" t="s">
        <v>58</v>
      </c>
      <c r="Q18" s="74"/>
      <c r="R18" s="74"/>
      <c r="S18" s="29"/>
    </row>
    <row r="19" s="1" customFormat="1" ht="27" spans="1:19">
      <c r="A19" s="51" t="s">
        <v>217</v>
      </c>
      <c r="B19" s="47" t="s">
        <v>101</v>
      </c>
      <c r="C19" s="47" t="s">
        <v>218</v>
      </c>
      <c r="D19" s="50" t="s">
        <v>219</v>
      </c>
      <c r="E19" s="50" t="s">
        <v>220</v>
      </c>
      <c r="F19" s="50">
        <v>60</v>
      </c>
      <c r="G19" s="50">
        <v>2024.3</v>
      </c>
      <c r="H19" s="50">
        <v>4</v>
      </c>
      <c r="I19" s="50">
        <v>60</v>
      </c>
      <c r="J19" s="47" t="s">
        <v>30</v>
      </c>
      <c r="K19" s="65" t="s">
        <v>224</v>
      </c>
      <c r="L19" s="65" t="s">
        <v>225</v>
      </c>
      <c r="M19" s="29" t="s">
        <v>144</v>
      </c>
      <c r="N19" s="29" t="s">
        <v>223</v>
      </c>
      <c r="O19" s="50" t="s">
        <v>57</v>
      </c>
      <c r="P19" s="51" t="s">
        <v>58</v>
      </c>
      <c r="Q19" s="74"/>
      <c r="R19" s="74"/>
      <c r="S19" s="29"/>
    </row>
    <row r="20" s="1" customFormat="1" ht="27" spans="1:19">
      <c r="A20" s="51" t="s">
        <v>217</v>
      </c>
      <c r="B20" s="47" t="s">
        <v>101</v>
      </c>
      <c r="C20" s="47" t="s">
        <v>218</v>
      </c>
      <c r="D20" s="50" t="s">
        <v>219</v>
      </c>
      <c r="E20" s="50" t="s">
        <v>220</v>
      </c>
      <c r="F20" s="50">
        <v>60</v>
      </c>
      <c r="G20" s="50">
        <v>2024.3</v>
      </c>
      <c r="H20" s="50">
        <v>4</v>
      </c>
      <c r="I20" s="50">
        <v>60</v>
      </c>
      <c r="J20" s="47" t="s">
        <v>30</v>
      </c>
      <c r="K20" s="65" t="s">
        <v>226</v>
      </c>
      <c r="L20" s="65" t="s">
        <v>227</v>
      </c>
      <c r="M20" s="29" t="s">
        <v>148</v>
      </c>
      <c r="N20" s="29" t="s">
        <v>228</v>
      </c>
      <c r="O20" s="50" t="s">
        <v>57</v>
      </c>
      <c r="P20" s="51" t="s">
        <v>58</v>
      </c>
      <c r="Q20" s="74"/>
      <c r="R20" s="74"/>
      <c r="S20" s="29"/>
    </row>
    <row r="21" s="1" customFormat="1" ht="27" spans="1:19">
      <c r="A21" s="51" t="s">
        <v>217</v>
      </c>
      <c r="B21" s="47" t="s">
        <v>101</v>
      </c>
      <c r="C21" s="47" t="s">
        <v>218</v>
      </c>
      <c r="D21" s="50" t="s">
        <v>219</v>
      </c>
      <c r="E21" s="50" t="s">
        <v>220</v>
      </c>
      <c r="F21" s="50">
        <v>60</v>
      </c>
      <c r="G21" s="50">
        <v>2024.3</v>
      </c>
      <c r="H21" s="50">
        <v>4</v>
      </c>
      <c r="I21" s="50">
        <v>60</v>
      </c>
      <c r="J21" s="47" t="s">
        <v>30</v>
      </c>
      <c r="K21" s="66" t="s">
        <v>229</v>
      </c>
      <c r="L21" s="65" t="s">
        <v>230</v>
      </c>
      <c r="M21" s="29" t="s">
        <v>144</v>
      </c>
      <c r="N21" s="29" t="s">
        <v>223</v>
      </c>
      <c r="O21" s="50" t="s">
        <v>57</v>
      </c>
      <c r="P21" s="51" t="s">
        <v>58</v>
      </c>
      <c r="Q21" s="74"/>
      <c r="R21" s="74"/>
      <c r="S21" s="29"/>
    </row>
    <row r="22" s="1" customFormat="1" ht="27" spans="1:19">
      <c r="A22" s="51" t="s">
        <v>217</v>
      </c>
      <c r="B22" s="47" t="s">
        <v>101</v>
      </c>
      <c r="C22" s="47" t="s">
        <v>218</v>
      </c>
      <c r="D22" s="50" t="s">
        <v>219</v>
      </c>
      <c r="E22" s="50" t="s">
        <v>220</v>
      </c>
      <c r="F22" s="50">
        <v>60</v>
      </c>
      <c r="G22" s="50">
        <v>2024.3</v>
      </c>
      <c r="H22" s="50">
        <v>4</v>
      </c>
      <c r="I22" s="50">
        <v>60</v>
      </c>
      <c r="J22" s="47" t="s">
        <v>30</v>
      </c>
      <c r="K22" s="65" t="s">
        <v>231</v>
      </c>
      <c r="L22" s="65" t="s">
        <v>232</v>
      </c>
      <c r="M22" s="29" t="s">
        <v>148</v>
      </c>
      <c r="N22" s="29" t="s">
        <v>228</v>
      </c>
      <c r="O22" s="50" t="s">
        <v>57</v>
      </c>
      <c r="P22" s="51" t="s">
        <v>58</v>
      </c>
      <c r="Q22" s="74"/>
      <c r="R22" s="74"/>
      <c r="S22" s="29"/>
    </row>
    <row r="23" s="1" customFormat="1" ht="27" spans="1:19">
      <c r="A23" s="51" t="s">
        <v>217</v>
      </c>
      <c r="B23" s="47" t="s">
        <v>101</v>
      </c>
      <c r="C23" s="47" t="s">
        <v>218</v>
      </c>
      <c r="D23" s="50" t="s">
        <v>219</v>
      </c>
      <c r="E23" s="50" t="s">
        <v>220</v>
      </c>
      <c r="F23" s="50">
        <v>60</v>
      </c>
      <c r="G23" s="50">
        <v>2024.3</v>
      </c>
      <c r="H23" s="50">
        <v>4</v>
      </c>
      <c r="I23" s="50">
        <v>60</v>
      </c>
      <c r="J23" s="47" t="s">
        <v>30</v>
      </c>
      <c r="K23" s="69" t="s">
        <v>233</v>
      </c>
      <c r="L23" s="69" t="s">
        <v>234</v>
      </c>
      <c r="M23" s="29" t="s">
        <v>148</v>
      </c>
      <c r="N23" s="29" t="s">
        <v>228</v>
      </c>
      <c r="O23" s="50" t="s">
        <v>57</v>
      </c>
      <c r="P23" s="51" t="s">
        <v>58</v>
      </c>
      <c r="Q23" s="74"/>
      <c r="R23" s="74"/>
      <c r="S23" s="29"/>
    </row>
    <row r="24" s="1" customFormat="1" ht="27" spans="1:19">
      <c r="A24" s="51" t="s">
        <v>217</v>
      </c>
      <c r="B24" s="47" t="s">
        <v>101</v>
      </c>
      <c r="C24" s="47" t="s">
        <v>218</v>
      </c>
      <c r="D24" s="50" t="s">
        <v>219</v>
      </c>
      <c r="E24" s="50" t="s">
        <v>220</v>
      </c>
      <c r="F24" s="50">
        <v>60</v>
      </c>
      <c r="G24" s="50">
        <v>2024.3</v>
      </c>
      <c r="H24" s="50">
        <v>4</v>
      </c>
      <c r="I24" s="50">
        <v>60</v>
      </c>
      <c r="J24" s="47" t="s">
        <v>30</v>
      </c>
      <c r="K24" s="69" t="s">
        <v>235</v>
      </c>
      <c r="L24" s="69" t="s">
        <v>236</v>
      </c>
      <c r="M24" s="29" t="s">
        <v>144</v>
      </c>
      <c r="N24" s="29" t="s">
        <v>223</v>
      </c>
      <c r="O24" s="50" t="s">
        <v>57</v>
      </c>
      <c r="P24" s="51" t="s">
        <v>58</v>
      </c>
      <c r="Q24" s="74"/>
      <c r="R24" s="74"/>
      <c r="S24" s="29"/>
    </row>
    <row r="25" s="1" customFormat="1" ht="27" spans="1:19">
      <c r="A25" s="51" t="s">
        <v>217</v>
      </c>
      <c r="B25" s="47" t="s">
        <v>101</v>
      </c>
      <c r="C25" s="47" t="s">
        <v>218</v>
      </c>
      <c r="D25" s="50" t="s">
        <v>219</v>
      </c>
      <c r="E25" s="50" t="s">
        <v>220</v>
      </c>
      <c r="F25" s="50">
        <v>60</v>
      </c>
      <c r="G25" s="50">
        <v>2024.3</v>
      </c>
      <c r="H25" s="50">
        <v>4</v>
      </c>
      <c r="I25" s="50">
        <v>60</v>
      </c>
      <c r="J25" s="47" t="s">
        <v>30</v>
      </c>
      <c r="K25" s="69" t="s">
        <v>237</v>
      </c>
      <c r="L25" s="69" t="s">
        <v>237</v>
      </c>
      <c r="M25" s="29" t="s">
        <v>144</v>
      </c>
      <c r="N25" s="29" t="s">
        <v>223</v>
      </c>
      <c r="O25" s="50" t="s">
        <v>57</v>
      </c>
      <c r="P25" s="51" t="s">
        <v>58</v>
      </c>
      <c r="Q25" s="74"/>
      <c r="R25" s="74"/>
      <c r="S25" s="29"/>
    </row>
    <row r="26" s="1" customFormat="1" ht="27" spans="1:19">
      <c r="A26" s="51" t="s">
        <v>217</v>
      </c>
      <c r="B26" s="47" t="s">
        <v>101</v>
      </c>
      <c r="C26" s="47" t="s">
        <v>218</v>
      </c>
      <c r="D26" s="47" t="s">
        <v>238</v>
      </c>
      <c r="E26" s="47" t="s">
        <v>239</v>
      </c>
      <c r="F26" s="47">
        <v>1</v>
      </c>
      <c r="G26" s="47">
        <v>2024.1</v>
      </c>
      <c r="H26" s="47">
        <v>25</v>
      </c>
      <c r="I26" s="47">
        <v>1</v>
      </c>
      <c r="J26" s="47" t="s">
        <v>30</v>
      </c>
      <c r="K26" s="73" t="s">
        <v>240</v>
      </c>
      <c r="L26" s="56" t="s">
        <v>241</v>
      </c>
      <c r="M26" s="29" t="s">
        <v>148</v>
      </c>
      <c r="N26" s="29" t="s">
        <v>228</v>
      </c>
      <c r="O26" s="50" t="s">
        <v>57</v>
      </c>
      <c r="P26" s="51" t="s">
        <v>58</v>
      </c>
      <c r="Q26" s="74"/>
      <c r="R26" s="74"/>
      <c r="S26" s="29"/>
    </row>
    <row r="27" s="1" customFormat="1" ht="27" spans="1:19">
      <c r="A27" s="51" t="s">
        <v>217</v>
      </c>
      <c r="B27" s="47" t="s">
        <v>101</v>
      </c>
      <c r="C27" s="47" t="s">
        <v>218</v>
      </c>
      <c r="D27" s="47" t="s">
        <v>238</v>
      </c>
      <c r="E27" s="47" t="s">
        <v>239</v>
      </c>
      <c r="F27" s="47">
        <v>1</v>
      </c>
      <c r="G27" s="47">
        <v>2024.1</v>
      </c>
      <c r="H27" s="47">
        <v>25</v>
      </c>
      <c r="I27" s="47">
        <v>1</v>
      </c>
      <c r="J27" s="47" t="s">
        <v>30</v>
      </c>
      <c r="K27" s="73" t="s">
        <v>242</v>
      </c>
      <c r="L27" s="56" t="s">
        <v>243</v>
      </c>
      <c r="M27" s="29" t="s">
        <v>144</v>
      </c>
      <c r="N27" s="29" t="s">
        <v>223</v>
      </c>
      <c r="O27" s="50" t="s">
        <v>57</v>
      </c>
      <c r="P27" s="51" t="s">
        <v>58</v>
      </c>
      <c r="Q27" s="74"/>
      <c r="R27" s="74"/>
      <c r="S27" s="29"/>
    </row>
    <row r="28" s="1" customFormat="1" ht="27" spans="1:19">
      <c r="A28" s="51" t="s">
        <v>217</v>
      </c>
      <c r="B28" s="47" t="s">
        <v>101</v>
      </c>
      <c r="C28" s="47" t="s">
        <v>218</v>
      </c>
      <c r="D28" s="47" t="s">
        <v>238</v>
      </c>
      <c r="E28" s="47" t="s">
        <v>239</v>
      </c>
      <c r="F28" s="47">
        <v>1</v>
      </c>
      <c r="G28" s="47">
        <v>2024.1</v>
      </c>
      <c r="H28" s="47">
        <v>25</v>
      </c>
      <c r="I28" s="47">
        <v>1</v>
      </c>
      <c r="J28" s="47" t="s">
        <v>30</v>
      </c>
      <c r="K28" s="65" t="s">
        <v>244</v>
      </c>
      <c r="L28" s="65" t="s">
        <v>245</v>
      </c>
      <c r="M28" s="29" t="s">
        <v>148</v>
      </c>
      <c r="N28" s="29" t="s">
        <v>228</v>
      </c>
      <c r="O28" s="50" t="s">
        <v>57</v>
      </c>
      <c r="P28" s="51" t="s">
        <v>58</v>
      </c>
      <c r="Q28" s="74"/>
      <c r="R28" s="74"/>
      <c r="S28" s="29"/>
    </row>
    <row r="29" s="1" customFormat="1" ht="27" spans="1:19">
      <c r="A29" s="51" t="s">
        <v>217</v>
      </c>
      <c r="B29" s="47" t="s">
        <v>101</v>
      </c>
      <c r="C29" s="47" t="s">
        <v>218</v>
      </c>
      <c r="D29" s="47" t="s">
        <v>238</v>
      </c>
      <c r="E29" s="47" t="s">
        <v>239</v>
      </c>
      <c r="F29" s="47">
        <v>1</v>
      </c>
      <c r="G29" s="47">
        <v>2024.1</v>
      </c>
      <c r="H29" s="47">
        <v>25</v>
      </c>
      <c r="I29" s="47">
        <v>1</v>
      </c>
      <c r="J29" s="47" t="s">
        <v>30</v>
      </c>
      <c r="K29" s="65" t="s">
        <v>246</v>
      </c>
      <c r="L29" s="65" t="s">
        <v>247</v>
      </c>
      <c r="M29" s="29" t="s">
        <v>248</v>
      </c>
      <c r="N29" s="29" t="s">
        <v>249</v>
      </c>
      <c r="O29" s="50" t="s">
        <v>57</v>
      </c>
      <c r="P29" s="51" t="s">
        <v>58</v>
      </c>
      <c r="Q29" s="74"/>
      <c r="R29" s="74"/>
      <c r="S29" s="29"/>
    </row>
    <row r="30" s="1" customFormat="1" ht="27" spans="1:19">
      <c r="A30" s="67" t="s">
        <v>265</v>
      </c>
      <c r="B30" s="49" t="s">
        <v>101</v>
      </c>
      <c r="C30" s="50" t="s">
        <v>272</v>
      </c>
      <c r="D30" s="50" t="s">
        <v>273</v>
      </c>
      <c r="E30" s="50" t="s">
        <v>274</v>
      </c>
      <c r="F30" s="50">
        <v>2</v>
      </c>
      <c r="G30" s="50" t="s">
        <v>275</v>
      </c>
      <c r="H30" s="50">
        <v>12</v>
      </c>
      <c r="I30" s="50">
        <v>2</v>
      </c>
      <c r="J30" s="49" t="s">
        <v>52</v>
      </c>
      <c r="K30" s="66" t="s">
        <v>276</v>
      </c>
      <c r="L30" s="66" t="s">
        <v>277</v>
      </c>
      <c r="M30" s="29" t="s">
        <v>278</v>
      </c>
      <c r="N30" s="45" t="s">
        <v>279</v>
      </c>
      <c r="O30" s="47" t="s">
        <v>57</v>
      </c>
      <c r="P30" s="51" t="s">
        <v>146</v>
      </c>
      <c r="Q30" s="74"/>
      <c r="R30" s="74"/>
      <c r="S30" s="29"/>
    </row>
    <row r="31" s="16" customFormat="1" ht="27" spans="1:19">
      <c r="A31" s="78" t="s">
        <v>287</v>
      </c>
      <c r="B31" s="47" t="s">
        <v>101</v>
      </c>
      <c r="C31" s="47" t="s">
        <v>288</v>
      </c>
      <c r="D31" s="47" t="s">
        <v>289</v>
      </c>
      <c r="E31" s="47" t="s">
        <v>290</v>
      </c>
      <c r="F31" s="47">
        <v>1</v>
      </c>
      <c r="G31" s="47">
        <v>2024.11</v>
      </c>
      <c r="H31" s="47">
        <v>18</v>
      </c>
      <c r="I31" s="47">
        <v>1</v>
      </c>
      <c r="J31" s="47" t="s">
        <v>170</v>
      </c>
      <c r="K31" s="40" t="s">
        <v>297</v>
      </c>
      <c r="L31" s="29" t="s">
        <v>298</v>
      </c>
      <c r="M31" s="29" t="s">
        <v>148</v>
      </c>
      <c r="N31" s="29" t="s">
        <v>149</v>
      </c>
      <c r="O31" s="81" t="s">
        <v>57</v>
      </c>
      <c r="P31" s="81" t="s">
        <v>146</v>
      </c>
      <c r="Q31" s="74"/>
      <c r="R31" s="74"/>
      <c r="S31" s="29"/>
    </row>
    <row r="32" s="33" customFormat="1" ht="28.5" spans="1:19">
      <c r="A32" s="78" t="s">
        <v>287</v>
      </c>
      <c r="B32" s="47" t="s">
        <v>101</v>
      </c>
      <c r="C32" s="47" t="s">
        <v>288</v>
      </c>
      <c r="D32" s="47" t="s">
        <v>289</v>
      </c>
      <c r="E32" s="47" t="s">
        <v>290</v>
      </c>
      <c r="F32" s="47">
        <v>1</v>
      </c>
      <c r="G32" s="47">
        <v>2024.11</v>
      </c>
      <c r="H32" s="47">
        <v>18</v>
      </c>
      <c r="I32" s="47">
        <v>1</v>
      </c>
      <c r="J32" s="47" t="s">
        <v>170</v>
      </c>
      <c r="K32" s="40" t="s">
        <v>299</v>
      </c>
      <c r="L32" s="29" t="s">
        <v>300</v>
      </c>
      <c r="M32" s="29" t="s">
        <v>148</v>
      </c>
      <c r="N32" s="29" t="s">
        <v>149</v>
      </c>
      <c r="O32" s="81" t="s">
        <v>57</v>
      </c>
      <c r="P32" s="81" t="s">
        <v>146</v>
      </c>
      <c r="Q32" s="82"/>
      <c r="R32" s="82"/>
      <c r="S32" s="83"/>
    </row>
    <row r="33" s="33" customFormat="1" ht="27" spans="1:19">
      <c r="A33" s="78" t="s">
        <v>287</v>
      </c>
      <c r="B33" s="47" t="s">
        <v>101</v>
      </c>
      <c r="C33" s="47" t="s">
        <v>288</v>
      </c>
      <c r="D33" s="47" t="s">
        <v>289</v>
      </c>
      <c r="E33" s="47" t="s">
        <v>290</v>
      </c>
      <c r="F33" s="47">
        <v>1</v>
      </c>
      <c r="G33" s="47">
        <v>2024.11</v>
      </c>
      <c r="H33" s="47">
        <v>18</v>
      </c>
      <c r="I33" s="47">
        <v>1</v>
      </c>
      <c r="J33" s="47" t="s">
        <v>170</v>
      </c>
      <c r="K33" s="40" t="s">
        <v>301</v>
      </c>
      <c r="L33" s="29" t="s">
        <v>302</v>
      </c>
      <c r="M33" s="29" t="s">
        <v>148</v>
      </c>
      <c r="N33" s="29" t="s">
        <v>149</v>
      </c>
      <c r="O33" s="81" t="s">
        <v>57</v>
      </c>
      <c r="P33" s="81" t="s">
        <v>146</v>
      </c>
      <c r="Q33" s="82"/>
      <c r="R33" s="82"/>
      <c r="S33" s="83"/>
    </row>
    <row r="34" s="33" customFormat="1" ht="28.5" spans="1:19">
      <c r="A34" s="78" t="s">
        <v>287</v>
      </c>
      <c r="B34" s="47" t="s">
        <v>101</v>
      </c>
      <c r="C34" s="47" t="s">
        <v>288</v>
      </c>
      <c r="D34" s="47" t="s">
        <v>289</v>
      </c>
      <c r="E34" s="47" t="s">
        <v>290</v>
      </c>
      <c r="F34" s="47">
        <v>1</v>
      </c>
      <c r="G34" s="47">
        <v>2024.11</v>
      </c>
      <c r="H34" s="47">
        <v>18</v>
      </c>
      <c r="I34" s="47">
        <v>1</v>
      </c>
      <c r="J34" s="47" t="s">
        <v>170</v>
      </c>
      <c r="K34" s="40" t="s">
        <v>303</v>
      </c>
      <c r="L34" s="29" t="s">
        <v>304</v>
      </c>
      <c r="M34" s="29" t="s">
        <v>148</v>
      </c>
      <c r="N34" s="29" t="s">
        <v>149</v>
      </c>
      <c r="O34" s="81" t="s">
        <v>57</v>
      </c>
      <c r="P34" s="81" t="s">
        <v>146</v>
      </c>
      <c r="Q34" s="82"/>
      <c r="R34" s="82"/>
      <c r="S34" s="83"/>
    </row>
    <row r="35" s="33" customFormat="1" ht="27" spans="1:19">
      <c r="A35" s="78" t="s">
        <v>287</v>
      </c>
      <c r="B35" s="47" t="s">
        <v>101</v>
      </c>
      <c r="C35" s="47" t="s">
        <v>288</v>
      </c>
      <c r="D35" s="47" t="s">
        <v>289</v>
      </c>
      <c r="E35" s="47" t="s">
        <v>290</v>
      </c>
      <c r="F35" s="47">
        <v>1</v>
      </c>
      <c r="G35" s="47">
        <v>2024.11</v>
      </c>
      <c r="H35" s="47">
        <v>18</v>
      </c>
      <c r="I35" s="47">
        <v>1</v>
      </c>
      <c r="J35" s="47" t="s">
        <v>170</v>
      </c>
      <c r="K35" s="40" t="s">
        <v>305</v>
      </c>
      <c r="L35" s="29" t="s">
        <v>306</v>
      </c>
      <c r="M35" s="29" t="s">
        <v>148</v>
      </c>
      <c r="N35" s="29" t="s">
        <v>149</v>
      </c>
      <c r="O35" s="81" t="s">
        <v>57</v>
      </c>
      <c r="P35" s="81" t="s">
        <v>146</v>
      </c>
      <c r="Q35" s="82"/>
      <c r="R35" s="82"/>
      <c r="S35" s="83"/>
    </row>
    <row r="36" s="33" customFormat="1" ht="27" spans="1:19">
      <c r="A36" s="78" t="s">
        <v>287</v>
      </c>
      <c r="B36" s="47" t="s">
        <v>101</v>
      </c>
      <c r="C36" s="47" t="s">
        <v>288</v>
      </c>
      <c r="D36" s="47" t="s">
        <v>289</v>
      </c>
      <c r="E36" s="47" t="s">
        <v>290</v>
      </c>
      <c r="F36" s="47">
        <v>1</v>
      </c>
      <c r="G36" s="47">
        <v>2024.11</v>
      </c>
      <c r="H36" s="47">
        <v>18</v>
      </c>
      <c r="I36" s="47">
        <v>1</v>
      </c>
      <c r="J36" s="47" t="s">
        <v>170</v>
      </c>
      <c r="K36" s="40" t="s">
        <v>307</v>
      </c>
      <c r="L36" s="29" t="s">
        <v>308</v>
      </c>
      <c r="M36" s="29" t="s">
        <v>148</v>
      </c>
      <c r="N36" s="29" t="s">
        <v>149</v>
      </c>
      <c r="O36" s="81" t="s">
        <v>57</v>
      </c>
      <c r="P36" s="81" t="s">
        <v>146</v>
      </c>
      <c r="Q36" s="82"/>
      <c r="R36" s="82"/>
      <c r="S36" s="83"/>
    </row>
    <row r="37" s="2" customFormat="1" ht="28.5" spans="1:19">
      <c r="A37" s="78" t="s">
        <v>287</v>
      </c>
      <c r="B37" s="47" t="s">
        <v>101</v>
      </c>
      <c r="C37" s="47" t="s">
        <v>288</v>
      </c>
      <c r="D37" s="47" t="s">
        <v>289</v>
      </c>
      <c r="E37" s="47" t="s">
        <v>290</v>
      </c>
      <c r="F37" s="47">
        <v>1</v>
      </c>
      <c r="G37" s="47">
        <v>2024.11</v>
      </c>
      <c r="H37" s="47">
        <v>18</v>
      </c>
      <c r="I37" s="47">
        <v>1</v>
      </c>
      <c r="J37" s="47" t="s">
        <v>170</v>
      </c>
      <c r="K37" s="40" t="s">
        <v>309</v>
      </c>
      <c r="L37" s="29" t="s">
        <v>310</v>
      </c>
      <c r="M37" s="29" t="s">
        <v>148</v>
      </c>
      <c r="N37" s="29" t="s">
        <v>149</v>
      </c>
      <c r="O37" s="81" t="s">
        <v>57</v>
      </c>
      <c r="P37" s="81" t="s">
        <v>146</v>
      </c>
      <c r="Q37" s="32"/>
      <c r="R37" s="32"/>
      <c r="S37" s="40"/>
    </row>
    <row r="38" s="2" customFormat="1" ht="28.5" spans="1:19">
      <c r="A38" s="78" t="s">
        <v>287</v>
      </c>
      <c r="B38" s="47" t="s">
        <v>101</v>
      </c>
      <c r="C38" s="47" t="s">
        <v>288</v>
      </c>
      <c r="D38" s="47" t="s">
        <v>289</v>
      </c>
      <c r="E38" s="47" t="s">
        <v>290</v>
      </c>
      <c r="F38" s="47">
        <v>1</v>
      </c>
      <c r="G38" s="47">
        <v>2024.11</v>
      </c>
      <c r="H38" s="47">
        <v>18</v>
      </c>
      <c r="I38" s="47">
        <v>1</v>
      </c>
      <c r="J38" s="47" t="s">
        <v>170</v>
      </c>
      <c r="K38" s="40" t="s">
        <v>311</v>
      </c>
      <c r="L38" s="29" t="s">
        <v>312</v>
      </c>
      <c r="M38" s="29" t="s">
        <v>148</v>
      </c>
      <c r="N38" s="29" t="s">
        <v>149</v>
      </c>
      <c r="O38" s="81" t="s">
        <v>57</v>
      </c>
      <c r="P38" s="81" t="s">
        <v>146</v>
      </c>
      <c r="Q38" s="32"/>
      <c r="R38" s="32"/>
      <c r="S38" s="40"/>
    </row>
    <row r="39" s="2" customFormat="1" ht="27" spans="1:19">
      <c r="A39" s="78" t="s">
        <v>287</v>
      </c>
      <c r="B39" s="47" t="s">
        <v>101</v>
      </c>
      <c r="C39" s="47" t="s">
        <v>288</v>
      </c>
      <c r="D39" s="47" t="s">
        <v>289</v>
      </c>
      <c r="E39" s="47" t="s">
        <v>290</v>
      </c>
      <c r="F39" s="47">
        <v>1</v>
      </c>
      <c r="G39" s="47">
        <v>2024.11</v>
      </c>
      <c r="H39" s="47">
        <v>18</v>
      </c>
      <c r="I39" s="47">
        <v>1</v>
      </c>
      <c r="J39" s="47" t="s">
        <v>170</v>
      </c>
      <c r="K39" s="40" t="s">
        <v>313</v>
      </c>
      <c r="L39" s="29" t="s">
        <v>314</v>
      </c>
      <c r="M39" s="29" t="s">
        <v>148</v>
      </c>
      <c r="N39" s="29" t="s">
        <v>149</v>
      </c>
      <c r="O39" s="81" t="s">
        <v>57</v>
      </c>
      <c r="P39" s="81" t="s">
        <v>146</v>
      </c>
      <c r="Q39" s="32"/>
      <c r="R39" s="32"/>
      <c r="S39" s="40"/>
    </row>
    <row r="40" s="2" customFormat="1" ht="28.5" spans="1:19">
      <c r="A40" s="78" t="s">
        <v>287</v>
      </c>
      <c r="B40" s="47" t="s">
        <v>101</v>
      </c>
      <c r="C40" s="47" t="s">
        <v>288</v>
      </c>
      <c r="D40" s="47" t="s">
        <v>289</v>
      </c>
      <c r="E40" s="47" t="s">
        <v>290</v>
      </c>
      <c r="F40" s="47">
        <v>1</v>
      </c>
      <c r="G40" s="47">
        <v>2024.11</v>
      </c>
      <c r="H40" s="47">
        <v>18</v>
      </c>
      <c r="I40" s="47">
        <v>1</v>
      </c>
      <c r="J40" s="47" t="s">
        <v>170</v>
      </c>
      <c r="K40" s="40" t="s">
        <v>315</v>
      </c>
      <c r="L40" s="29" t="s">
        <v>316</v>
      </c>
      <c r="M40" s="29" t="s">
        <v>144</v>
      </c>
      <c r="N40" s="29" t="s">
        <v>145</v>
      </c>
      <c r="O40" s="81" t="s">
        <v>57</v>
      </c>
      <c r="P40" s="81" t="s">
        <v>146</v>
      </c>
      <c r="Q40" s="32"/>
      <c r="R40" s="32"/>
      <c r="S40" s="40"/>
    </row>
    <row r="41" s="2" customFormat="1" ht="27" spans="1:19">
      <c r="A41" s="78" t="s">
        <v>287</v>
      </c>
      <c r="B41" s="47" t="s">
        <v>101</v>
      </c>
      <c r="C41" s="47" t="s">
        <v>288</v>
      </c>
      <c r="D41" s="47" t="s">
        <v>289</v>
      </c>
      <c r="E41" s="47" t="s">
        <v>290</v>
      </c>
      <c r="F41" s="47">
        <v>1</v>
      </c>
      <c r="G41" s="47">
        <v>2024.11</v>
      </c>
      <c r="H41" s="47">
        <v>18</v>
      </c>
      <c r="I41" s="47">
        <v>1</v>
      </c>
      <c r="J41" s="47" t="s">
        <v>170</v>
      </c>
      <c r="K41" s="40" t="s">
        <v>317</v>
      </c>
      <c r="L41" s="29" t="s">
        <v>318</v>
      </c>
      <c r="M41" s="29" t="s">
        <v>148</v>
      </c>
      <c r="N41" s="29" t="s">
        <v>149</v>
      </c>
      <c r="O41" s="81" t="s">
        <v>57</v>
      </c>
      <c r="P41" s="81" t="s">
        <v>146</v>
      </c>
      <c r="Q41" s="32"/>
      <c r="R41" s="32"/>
      <c r="S41" s="40"/>
    </row>
    <row r="42" s="2" customFormat="1" ht="27" spans="1:19">
      <c r="A42" s="78" t="s">
        <v>287</v>
      </c>
      <c r="B42" s="47" t="s">
        <v>101</v>
      </c>
      <c r="C42" s="47" t="s">
        <v>288</v>
      </c>
      <c r="D42" s="47" t="s">
        <v>289</v>
      </c>
      <c r="E42" s="47" t="s">
        <v>290</v>
      </c>
      <c r="F42" s="47">
        <v>1</v>
      </c>
      <c r="G42" s="47">
        <v>2024.11</v>
      </c>
      <c r="H42" s="47">
        <v>18</v>
      </c>
      <c r="I42" s="47">
        <v>1</v>
      </c>
      <c r="J42" s="47" t="s">
        <v>170</v>
      </c>
      <c r="K42" s="40" t="s">
        <v>319</v>
      </c>
      <c r="L42" s="29" t="s">
        <v>320</v>
      </c>
      <c r="M42" s="29" t="s">
        <v>148</v>
      </c>
      <c r="N42" s="29" t="s">
        <v>149</v>
      </c>
      <c r="O42" s="81" t="s">
        <v>57</v>
      </c>
      <c r="P42" s="81" t="s">
        <v>146</v>
      </c>
      <c r="Q42" s="32"/>
      <c r="R42" s="32"/>
      <c r="S42" s="40"/>
    </row>
    <row r="43" s="2" customFormat="1" ht="27" spans="1:19">
      <c r="A43" s="78" t="s">
        <v>287</v>
      </c>
      <c r="B43" s="47" t="s">
        <v>101</v>
      </c>
      <c r="C43" s="47" t="s">
        <v>288</v>
      </c>
      <c r="D43" s="47" t="s">
        <v>289</v>
      </c>
      <c r="E43" s="47" t="s">
        <v>290</v>
      </c>
      <c r="F43" s="47">
        <v>1</v>
      </c>
      <c r="G43" s="47">
        <v>2024.11</v>
      </c>
      <c r="H43" s="47">
        <v>18</v>
      </c>
      <c r="I43" s="47">
        <v>1</v>
      </c>
      <c r="J43" s="47" t="s">
        <v>170</v>
      </c>
      <c r="K43" s="40" t="s">
        <v>321</v>
      </c>
      <c r="L43" s="29" t="s">
        <v>322</v>
      </c>
      <c r="M43" s="29" t="s">
        <v>148</v>
      </c>
      <c r="N43" s="29" t="s">
        <v>149</v>
      </c>
      <c r="O43" s="81" t="s">
        <v>57</v>
      </c>
      <c r="P43" s="81" t="s">
        <v>146</v>
      </c>
      <c r="Q43" s="32"/>
      <c r="R43" s="32"/>
      <c r="S43" s="40"/>
    </row>
    <row r="44" s="2" customFormat="1" ht="28.5" spans="1:19">
      <c r="A44" s="78" t="s">
        <v>287</v>
      </c>
      <c r="B44" s="47" t="s">
        <v>101</v>
      </c>
      <c r="C44" s="47" t="s">
        <v>288</v>
      </c>
      <c r="D44" s="47" t="s">
        <v>289</v>
      </c>
      <c r="E44" s="47" t="s">
        <v>290</v>
      </c>
      <c r="F44" s="47">
        <v>1</v>
      </c>
      <c r="G44" s="47">
        <v>2024.11</v>
      </c>
      <c r="H44" s="47">
        <v>18</v>
      </c>
      <c r="I44" s="47">
        <v>1</v>
      </c>
      <c r="J44" s="47" t="s">
        <v>170</v>
      </c>
      <c r="K44" s="40" t="s">
        <v>323</v>
      </c>
      <c r="L44" s="29" t="s">
        <v>324</v>
      </c>
      <c r="M44" s="29" t="s">
        <v>148</v>
      </c>
      <c r="N44" s="29" t="s">
        <v>149</v>
      </c>
      <c r="O44" s="81" t="s">
        <v>57</v>
      </c>
      <c r="P44" s="81" t="s">
        <v>146</v>
      </c>
      <c r="Q44" s="32"/>
      <c r="R44" s="32"/>
      <c r="S44" s="40"/>
    </row>
    <row r="45" s="2" customFormat="1" ht="28.5" spans="1:19">
      <c r="A45" s="78" t="s">
        <v>287</v>
      </c>
      <c r="B45" s="47" t="s">
        <v>101</v>
      </c>
      <c r="C45" s="47" t="s">
        <v>288</v>
      </c>
      <c r="D45" s="47" t="s">
        <v>289</v>
      </c>
      <c r="E45" s="47" t="s">
        <v>290</v>
      </c>
      <c r="F45" s="47">
        <v>1</v>
      </c>
      <c r="G45" s="47">
        <v>2024.11</v>
      </c>
      <c r="H45" s="47">
        <v>18</v>
      </c>
      <c r="I45" s="47">
        <v>1</v>
      </c>
      <c r="J45" s="47" t="s">
        <v>170</v>
      </c>
      <c r="K45" s="40" t="s">
        <v>325</v>
      </c>
      <c r="L45" s="29" t="s">
        <v>326</v>
      </c>
      <c r="M45" s="29" t="s">
        <v>148</v>
      </c>
      <c r="N45" s="29" t="s">
        <v>149</v>
      </c>
      <c r="O45" s="81" t="s">
        <v>57</v>
      </c>
      <c r="P45" s="81" t="s">
        <v>146</v>
      </c>
      <c r="Q45" s="32"/>
      <c r="R45" s="32"/>
      <c r="S45" s="40"/>
    </row>
    <row r="46" s="2" customFormat="1" ht="28.5" spans="1:19">
      <c r="A46" s="78" t="s">
        <v>287</v>
      </c>
      <c r="B46" s="47" t="s">
        <v>101</v>
      </c>
      <c r="C46" s="47" t="s">
        <v>288</v>
      </c>
      <c r="D46" s="47" t="s">
        <v>289</v>
      </c>
      <c r="E46" s="47" t="s">
        <v>290</v>
      </c>
      <c r="F46" s="47">
        <v>1</v>
      </c>
      <c r="G46" s="47">
        <v>2024.11</v>
      </c>
      <c r="H46" s="47">
        <v>18</v>
      </c>
      <c r="I46" s="47">
        <v>1</v>
      </c>
      <c r="J46" s="47" t="s">
        <v>170</v>
      </c>
      <c r="K46" s="40" t="s">
        <v>327</v>
      </c>
      <c r="L46" s="29" t="s">
        <v>328</v>
      </c>
      <c r="M46" s="29" t="s">
        <v>148</v>
      </c>
      <c r="N46" s="29" t="s">
        <v>149</v>
      </c>
      <c r="O46" s="81" t="s">
        <v>57</v>
      </c>
      <c r="P46" s="81" t="s">
        <v>146</v>
      </c>
      <c r="Q46" s="32"/>
      <c r="R46" s="32"/>
      <c r="S46" s="40"/>
    </row>
    <row r="47" s="2" customFormat="1" spans="1:19">
      <c r="A47" s="78" t="s">
        <v>287</v>
      </c>
      <c r="B47" s="79" t="s">
        <v>25</v>
      </c>
      <c r="C47" s="79" t="s">
        <v>288</v>
      </c>
      <c r="D47" s="79" t="s">
        <v>329</v>
      </c>
      <c r="E47" s="79" t="s">
        <v>330</v>
      </c>
      <c r="F47" s="79">
        <v>1</v>
      </c>
      <c r="G47" s="79" t="s">
        <v>119</v>
      </c>
      <c r="H47" s="79">
        <v>30</v>
      </c>
      <c r="I47" s="79">
        <v>1</v>
      </c>
      <c r="J47" s="79" t="s">
        <v>170</v>
      </c>
      <c r="K47" s="40" t="s">
        <v>335</v>
      </c>
      <c r="L47" s="29" t="s">
        <v>336</v>
      </c>
      <c r="M47" s="29" t="s">
        <v>144</v>
      </c>
      <c r="N47" s="29" t="s">
        <v>145</v>
      </c>
      <c r="O47" s="81" t="s">
        <v>57</v>
      </c>
      <c r="P47" s="81" t="s">
        <v>146</v>
      </c>
      <c r="Q47" s="32"/>
      <c r="R47" s="32"/>
      <c r="S47" s="40"/>
    </row>
    <row r="48" s="2" customFormat="1" spans="1:19">
      <c r="A48" s="78" t="s">
        <v>287</v>
      </c>
      <c r="B48" s="79" t="s">
        <v>25</v>
      </c>
      <c r="C48" s="79" t="s">
        <v>288</v>
      </c>
      <c r="D48" s="79" t="s">
        <v>329</v>
      </c>
      <c r="E48" s="79" t="s">
        <v>330</v>
      </c>
      <c r="F48" s="79">
        <v>1</v>
      </c>
      <c r="G48" s="79" t="s">
        <v>119</v>
      </c>
      <c r="H48" s="79">
        <v>30</v>
      </c>
      <c r="I48" s="79">
        <v>1</v>
      </c>
      <c r="J48" s="79" t="s">
        <v>170</v>
      </c>
      <c r="K48" s="40" t="s">
        <v>339</v>
      </c>
      <c r="L48" s="29" t="s">
        <v>340</v>
      </c>
      <c r="M48" s="29" t="s">
        <v>144</v>
      </c>
      <c r="N48" s="29" t="s">
        <v>145</v>
      </c>
      <c r="O48" s="81" t="s">
        <v>57</v>
      </c>
      <c r="P48" s="81" t="s">
        <v>146</v>
      </c>
      <c r="Q48" s="32"/>
      <c r="R48" s="32"/>
      <c r="S48" s="40"/>
    </row>
    <row r="49" s="2" customFormat="1" ht="28.5" spans="1:19">
      <c r="A49" s="31" t="s">
        <v>24</v>
      </c>
      <c r="B49" s="34" t="s">
        <v>25</v>
      </c>
      <c r="C49" s="34" t="s">
        <v>506</v>
      </c>
      <c r="D49" s="34" t="s">
        <v>507</v>
      </c>
      <c r="E49" s="34" t="s">
        <v>508</v>
      </c>
      <c r="F49" s="34">
        <v>1</v>
      </c>
      <c r="G49" s="34" t="s">
        <v>119</v>
      </c>
      <c r="H49" s="34">
        <v>31</v>
      </c>
      <c r="I49" s="34">
        <v>1</v>
      </c>
      <c r="J49" s="34" t="s">
        <v>170</v>
      </c>
      <c r="K49" s="85" t="s">
        <v>667</v>
      </c>
      <c r="L49" s="85" t="s">
        <v>668</v>
      </c>
      <c r="M49" s="86" t="s">
        <v>669</v>
      </c>
      <c r="N49" s="86" t="s">
        <v>149</v>
      </c>
      <c r="O49" s="57" t="s">
        <v>512</v>
      </c>
      <c r="P49" s="57" t="s">
        <v>358</v>
      </c>
      <c r="Q49" s="57"/>
      <c r="R49" s="57"/>
      <c r="S49" s="57"/>
    </row>
    <row r="50" s="2" customFormat="1" ht="57" spans="1:19">
      <c r="A50" s="31" t="s">
        <v>24</v>
      </c>
      <c r="B50" s="34" t="s">
        <v>25</v>
      </c>
      <c r="C50" s="34" t="s">
        <v>506</v>
      </c>
      <c r="D50" s="34" t="s">
        <v>507</v>
      </c>
      <c r="E50" s="34" t="s">
        <v>508</v>
      </c>
      <c r="F50" s="34">
        <v>1</v>
      </c>
      <c r="G50" s="34" t="s">
        <v>119</v>
      </c>
      <c r="H50" s="34">
        <v>31</v>
      </c>
      <c r="I50" s="34">
        <v>1</v>
      </c>
      <c r="J50" s="34" t="s">
        <v>170</v>
      </c>
      <c r="K50" s="85" t="s">
        <v>670</v>
      </c>
      <c r="L50" s="85" t="s">
        <v>671</v>
      </c>
      <c r="M50" s="86" t="s">
        <v>669</v>
      </c>
      <c r="N50" s="86" t="s">
        <v>149</v>
      </c>
      <c r="O50" s="57" t="s">
        <v>512</v>
      </c>
      <c r="P50" s="57" t="s">
        <v>358</v>
      </c>
      <c r="Q50" s="57"/>
      <c r="R50" s="57"/>
      <c r="S50" s="57"/>
    </row>
    <row r="51" s="2" customFormat="1" ht="67.5" spans="1:19">
      <c r="A51" s="14" t="s">
        <v>47</v>
      </c>
      <c r="B51" s="14" t="s">
        <v>25</v>
      </c>
      <c r="C51" s="14" t="s">
        <v>48</v>
      </c>
      <c r="D51" s="84" t="s">
        <v>513</v>
      </c>
      <c r="E51" s="84" t="s">
        <v>514</v>
      </c>
      <c r="F51" s="84">
        <v>1</v>
      </c>
      <c r="G51" s="84" t="s">
        <v>51</v>
      </c>
      <c r="H51" s="84">
        <v>18</v>
      </c>
      <c r="I51" s="84">
        <v>1</v>
      </c>
      <c r="J51" s="21" t="s">
        <v>449</v>
      </c>
      <c r="K51" s="87" t="s">
        <v>672</v>
      </c>
      <c r="L51" s="87" t="s">
        <v>673</v>
      </c>
      <c r="M51" s="88" t="s">
        <v>144</v>
      </c>
      <c r="N51" s="57" t="s">
        <v>674</v>
      </c>
      <c r="O51" s="24" t="s">
        <v>365</v>
      </c>
      <c r="P51" s="24"/>
      <c r="Q51" s="27"/>
      <c r="R51" s="27"/>
      <c r="S51" s="28"/>
    </row>
    <row r="52" s="2" customFormat="1" ht="54" spans="1:19">
      <c r="A52" s="14" t="s">
        <v>47</v>
      </c>
      <c r="B52" s="14" t="s">
        <v>25</v>
      </c>
      <c r="C52" s="14" t="s">
        <v>48</v>
      </c>
      <c r="D52" s="84" t="s">
        <v>513</v>
      </c>
      <c r="E52" s="84" t="s">
        <v>514</v>
      </c>
      <c r="F52" s="84">
        <v>1</v>
      </c>
      <c r="G52" s="84" t="s">
        <v>51</v>
      </c>
      <c r="H52" s="84">
        <v>18</v>
      </c>
      <c r="I52" s="84">
        <v>1</v>
      </c>
      <c r="J52" s="21" t="s">
        <v>449</v>
      </c>
      <c r="K52" s="87" t="s">
        <v>675</v>
      </c>
      <c r="L52" s="87" t="s">
        <v>676</v>
      </c>
      <c r="M52" s="88" t="s">
        <v>144</v>
      </c>
      <c r="N52" s="57" t="s">
        <v>674</v>
      </c>
      <c r="O52" s="24" t="s">
        <v>365</v>
      </c>
      <c r="P52" s="24"/>
      <c r="Q52" s="27"/>
      <c r="R52" s="27"/>
      <c r="S52" s="28"/>
    </row>
    <row r="53" s="2" customFormat="1" ht="27" spans="1:19">
      <c r="A53" s="14" t="s">
        <v>47</v>
      </c>
      <c r="B53" s="14" t="s">
        <v>25</v>
      </c>
      <c r="C53" s="14" t="s">
        <v>48</v>
      </c>
      <c r="D53" s="15" t="s">
        <v>447</v>
      </c>
      <c r="E53" s="15" t="s">
        <v>448</v>
      </c>
      <c r="F53" s="15">
        <v>1</v>
      </c>
      <c r="G53" s="15">
        <v>2025.1</v>
      </c>
      <c r="H53" s="15">
        <v>1</v>
      </c>
      <c r="I53" s="15">
        <v>1</v>
      </c>
      <c r="J53" s="21" t="s">
        <v>449</v>
      </c>
      <c r="K53" s="87" t="s">
        <v>677</v>
      </c>
      <c r="L53" s="87" t="s">
        <v>678</v>
      </c>
      <c r="M53" s="87" t="s">
        <v>347</v>
      </c>
      <c r="N53" s="89" t="s">
        <v>679</v>
      </c>
      <c r="O53" s="24" t="s">
        <v>365</v>
      </c>
      <c r="P53" s="24"/>
      <c r="Q53" s="27"/>
      <c r="R53" s="27"/>
      <c r="S53" s="28"/>
    </row>
    <row r="54" s="2" customFormat="1" ht="67.5" spans="1:19">
      <c r="A54" s="14" t="s">
        <v>47</v>
      </c>
      <c r="B54" s="14" t="s">
        <v>25</v>
      </c>
      <c r="C54" s="14" t="s">
        <v>48</v>
      </c>
      <c r="D54" s="15" t="s">
        <v>680</v>
      </c>
      <c r="E54" s="15" t="s">
        <v>681</v>
      </c>
      <c r="F54" s="15">
        <v>1</v>
      </c>
      <c r="G54" s="15" t="s">
        <v>682</v>
      </c>
      <c r="H54" s="15"/>
      <c r="I54" s="15">
        <v>1</v>
      </c>
      <c r="J54" s="21" t="s">
        <v>449</v>
      </c>
      <c r="K54" s="87" t="s">
        <v>683</v>
      </c>
      <c r="L54" s="87" t="s">
        <v>684</v>
      </c>
      <c r="M54" s="87" t="s">
        <v>347</v>
      </c>
      <c r="N54" s="89" t="s">
        <v>685</v>
      </c>
      <c r="O54" s="24" t="s">
        <v>365</v>
      </c>
      <c r="P54" s="24"/>
      <c r="Q54" s="27"/>
      <c r="R54" s="27"/>
      <c r="S54" s="28"/>
    </row>
    <row r="55" ht="27" spans="1:19">
      <c r="A55" s="14" t="s">
        <v>47</v>
      </c>
      <c r="B55" s="14" t="s">
        <v>25</v>
      </c>
      <c r="C55" s="14" t="s">
        <v>48</v>
      </c>
      <c r="D55" s="15" t="s">
        <v>680</v>
      </c>
      <c r="E55" s="15" t="s">
        <v>681</v>
      </c>
      <c r="F55" s="15">
        <v>1</v>
      </c>
      <c r="G55" s="15" t="s">
        <v>682</v>
      </c>
      <c r="H55" s="15"/>
      <c r="I55" s="15">
        <v>1</v>
      </c>
      <c r="J55" s="21" t="s">
        <v>449</v>
      </c>
      <c r="K55" s="87" t="s">
        <v>686</v>
      </c>
      <c r="L55" s="87" t="s">
        <v>687</v>
      </c>
      <c r="M55" s="87" t="s">
        <v>347</v>
      </c>
      <c r="N55" s="89" t="s">
        <v>685</v>
      </c>
      <c r="O55" s="24" t="s">
        <v>365</v>
      </c>
      <c r="P55" s="24"/>
      <c r="Q55" s="27"/>
      <c r="R55" s="27"/>
      <c r="S55" s="28"/>
    </row>
    <row r="56" ht="40.5" spans="1:19">
      <c r="A56" s="21" t="s">
        <v>122</v>
      </c>
      <c r="B56" s="21" t="s">
        <v>25</v>
      </c>
      <c r="C56" s="21" t="s">
        <v>351</v>
      </c>
      <c r="D56" s="21" t="s">
        <v>352</v>
      </c>
      <c r="E56" s="21" t="s">
        <v>353</v>
      </c>
      <c r="F56" s="21">
        <v>1</v>
      </c>
      <c r="G56" s="21" t="s">
        <v>354</v>
      </c>
      <c r="H56" s="21"/>
      <c r="I56" s="21">
        <v>1</v>
      </c>
      <c r="J56" s="21" t="s">
        <v>170</v>
      </c>
      <c r="K56" s="29" t="s">
        <v>373</v>
      </c>
      <c r="L56" s="29" t="s">
        <v>373</v>
      </c>
      <c r="M56" s="57" t="s">
        <v>148</v>
      </c>
      <c r="N56" s="57" t="s">
        <v>149</v>
      </c>
      <c r="O56" s="24" t="s">
        <v>357</v>
      </c>
      <c r="P56" s="24" t="s">
        <v>358</v>
      </c>
      <c r="Q56" s="27"/>
      <c r="R56" s="27"/>
      <c r="S56" s="28"/>
    </row>
    <row r="57" ht="27" spans="1:19">
      <c r="A57" s="47" t="s">
        <v>137</v>
      </c>
      <c r="B57" s="47" t="s">
        <v>101</v>
      </c>
      <c r="C57" s="47" t="s">
        <v>138</v>
      </c>
      <c r="D57" s="47" t="s">
        <v>139</v>
      </c>
      <c r="E57" s="47" t="s">
        <v>362</v>
      </c>
      <c r="F57" s="47">
        <v>8</v>
      </c>
      <c r="G57" s="47" t="s">
        <v>141</v>
      </c>
      <c r="H57" s="47">
        <v>31</v>
      </c>
      <c r="I57" s="47">
        <v>8</v>
      </c>
      <c r="J57" s="47" t="s">
        <v>30</v>
      </c>
      <c r="K57" s="90" t="s">
        <v>688</v>
      </c>
      <c r="L57" s="90" t="s">
        <v>689</v>
      </c>
      <c r="M57" s="28" t="s">
        <v>144</v>
      </c>
      <c r="N57" s="57" t="s">
        <v>145</v>
      </c>
      <c r="O57" s="31" t="s">
        <v>365</v>
      </c>
      <c r="P57" s="31"/>
      <c r="Q57" s="27"/>
      <c r="R57" s="27"/>
      <c r="S57" s="28"/>
    </row>
    <row r="58" ht="27" spans="1:19">
      <c r="A58" s="47" t="s">
        <v>137</v>
      </c>
      <c r="B58" s="47" t="s">
        <v>101</v>
      </c>
      <c r="C58" s="47" t="s">
        <v>138</v>
      </c>
      <c r="D58" s="47" t="s">
        <v>139</v>
      </c>
      <c r="E58" s="47" t="s">
        <v>362</v>
      </c>
      <c r="F58" s="47">
        <v>8</v>
      </c>
      <c r="G58" s="47" t="s">
        <v>141</v>
      </c>
      <c r="H58" s="47">
        <v>31</v>
      </c>
      <c r="I58" s="47">
        <v>8</v>
      </c>
      <c r="J58" s="47" t="s">
        <v>30</v>
      </c>
      <c r="K58" s="90" t="s">
        <v>374</v>
      </c>
      <c r="L58" s="90" t="s">
        <v>375</v>
      </c>
      <c r="M58" s="28" t="s">
        <v>148</v>
      </c>
      <c r="N58" s="57" t="s">
        <v>149</v>
      </c>
      <c r="O58" s="31" t="s">
        <v>365</v>
      </c>
      <c r="P58" s="31"/>
      <c r="Q58" s="27"/>
      <c r="R58" s="27"/>
      <c r="S58" s="28"/>
    </row>
    <row r="59" ht="27" spans="1:19">
      <c r="A59" s="47" t="s">
        <v>137</v>
      </c>
      <c r="B59" s="47" t="s">
        <v>101</v>
      </c>
      <c r="C59" s="47" t="s">
        <v>138</v>
      </c>
      <c r="D59" s="47" t="s">
        <v>139</v>
      </c>
      <c r="E59" s="47" t="s">
        <v>362</v>
      </c>
      <c r="F59" s="47">
        <v>8</v>
      </c>
      <c r="G59" s="47" t="s">
        <v>141</v>
      </c>
      <c r="H59" s="47">
        <v>31</v>
      </c>
      <c r="I59" s="47">
        <v>8</v>
      </c>
      <c r="J59" s="47" t="s">
        <v>30</v>
      </c>
      <c r="K59" s="90" t="s">
        <v>376</v>
      </c>
      <c r="L59" s="90" t="s">
        <v>377</v>
      </c>
      <c r="M59" s="28" t="s">
        <v>148</v>
      </c>
      <c r="N59" s="57" t="s">
        <v>149</v>
      </c>
      <c r="O59" s="31" t="s">
        <v>365</v>
      </c>
      <c r="P59" s="31"/>
      <c r="Q59" s="27"/>
      <c r="R59" s="27"/>
      <c r="S59" s="28"/>
    </row>
    <row r="60" ht="27" spans="1:19">
      <c r="A60" s="47" t="s">
        <v>137</v>
      </c>
      <c r="B60" s="47" t="s">
        <v>101</v>
      </c>
      <c r="C60" s="47" t="s">
        <v>138</v>
      </c>
      <c r="D60" s="47" t="s">
        <v>139</v>
      </c>
      <c r="E60" s="47" t="s">
        <v>362</v>
      </c>
      <c r="F60" s="47">
        <v>8</v>
      </c>
      <c r="G60" s="47" t="s">
        <v>141</v>
      </c>
      <c r="H60" s="47">
        <v>31</v>
      </c>
      <c r="I60" s="47">
        <v>8</v>
      </c>
      <c r="J60" s="47" t="s">
        <v>30</v>
      </c>
      <c r="K60" s="90" t="s">
        <v>378</v>
      </c>
      <c r="L60" s="90" t="s">
        <v>379</v>
      </c>
      <c r="M60" s="28" t="s">
        <v>148</v>
      </c>
      <c r="N60" s="57" t="s">
        <v>149</v>
      </c>
      <c r="O60" s="31" t="s">
        <v>365</v>
      </c>
      <c r="P60" s="31"/>
      <c r="Q60" s="27"/>
      <c r="R60" s="27"/>
      <c r="S60" s="28"/>
    </row>
    <row r="61" ht="94.5" spans="1:19">
      <c r="A61" s="47" t="s">
        <v>137</v>
      </c>
      <c r="B61" s="47" t="s">
        <v>101</v>
      </c>
      <c r="C61" s="47" t="s">
        <v>138</v>
      </c>
      <c r="D61" s="47" t="s">
        <v>139</v>
      </c>
      <c r="E61" s="47" t="s">
        <v>362</v>
      </c>
      <c r="F61" s="47">
        <v>8</v>
      </c>
      <c r="G61" s="47" t="s">
        <v>141</v>
      </c>
      <c r="H61" s="47">
        <v>31</v>
      </c>
      <c r="I61" s="47">
        <v>8</v>
      </c>
      <c r="J61" s="47" t="s">
        <v>30</v>
      </c>
      <c r="K61" s="87" t="s">
        <v>588</v>
      </c>
      <c r="L61" s="90" t="s">
        <v>589</v>
      </c>
      <c r="M61" s="28" t="s">
        <v>590</v>
      </c>
      <c r="N61" s="57" t="s">
        <v>591</v>
      </c>
      <c r="O61" s="31" t="s">
        <v>365</v>
      </c>
      <c r="P61" s="31"/>
      <c r="Q61" s="27"/>
      <c r="R61" s="27"/>
      <c r="S61" s="28"/>
    </row>
    <row r="62" ht="27" spans="1:19">
      <c r="A62" s="47" t="s">
        <v>137</v>
      </c>
      <c r="B62" s="47" t="s">
        <v>101</v>
      </c>
      <c r="C62" s="47" t="s">
        <v>138</v>
      </c>
      <c r="D62" s="47" t="s">
        <v>139</v>
      </c>
      <c r="E62" s="47" t="s">
        <v>362</v>
      </c>
      <c r="F62" s="47">
        <v>8</v>
      </c>
      <c r="G62" s="47" t="s">
        <v>141</v>
      </c>
      <c r="H62" s="47">
        <v>31</v>
      </c>
      <c r="I62" s="47">
        <v>8</v>
      </c>
      <c r="J62" s="47" t="s">
        <v>30</v>
      </c>
      <c r="K62" s="87" t="s">
        <v>690</v>
      </c>
      <c r="L62" s="90" t="s">
        <v>691</v>
      </c>
      <c r="M62" s="28" t="s">
        <v>144</v>
      </c>
      <c r="N62" s="57" t="s">
        <v>145</v>
      </c>
      <c r="O62" s="31" t="s">
        <v>365</v>
      </c>
      <c r="P62" s="31"/>
      <c r="Q62" s="27"/>
      <c r="R62" s="27"/>
      <c r="S62" s="28"/>
    </row>
    <row r="63" ht="27" spans="1:19">
      <c r="A63" s="47" t="s">
        <v>137</v>
      </c>
      <c r="B63" s="47" t="s">
        <v>101</v>
      </c>
      <c r="C63" s="47" t="s">
        <v>138</v>
      </c>
      <c r="D63" s="47" t="s">
        <v>139</v>
      </c>
      <c r="E63" s="47" t="s">
        <v>362</v>
      </c>
      <c r="F63" s="47">
        <v>8</v>
      </c>
      <c r="G63" s="47" t="s">
        <v>141</v>
      </c>
      <c r="H63" s="47">
        <v>31</v>
      </c>
      <c r="I63" s="47">
        <v>8</v>
      </c>
      <c r="J63" s="47" t="s">
        <v>30</v>
      </c>
      <c r="K63" s="90" t="s">
        <v>380</v>
      </c>
      <c r="L63" s="90" t="s">
        <v>381</v>
      </c>
      <c r="M63" s="28" t="s">
        <v>148</v>
      </c>
      <c r="N63" s="57" t="s">
        <v>149</v>
      </c>
      <c r="O63" s="31" t="s">
        <v>365</v>
      </c>
      <c r="P63" s="31"/>
      <c r="Q63" s="27"/>
      <c r="R63" s="27"/>
      <c r="S63" s="28"/>
    </row>
    <row r="64" ht="27" spans="1:19">
      <c r="A64" s="47" t="s">
        <v>137</v>
      </c>
      <c r="B64" s="47" t="s">
        <v>101</v>
      </c>
      <c r="C64" s="47" t="s">
        <v>138</v>
      </c>
      <c r="D64" s="47" t="s">
        <v>139</v>
      </c>
      <c r="E64" s="47" t="s">
        <v>362</v>
      </c>
      <c r="F64" s="47">
        <v>8</v>
      </c>
      <c r="G64" s="47" t="s">
        <v>141</v>
      </c>
      <c r="H64" s="47">
        <v>31</v>
      </c>
      <c r="I64" s="47">
        <v>8</v>
      </c>
      <c r="J64" s="47" t="s">
        <v>30</v>
      </c>
      <c r="K64" s="87" t="s">
        <v>382</v>
      </c>
      <c r="L64" s="90" t="s">
        <v>383</v>
      </c>
      <c r="M64" s="28" t="s">
        <v>148</v>
      </c>
      <c r="N64" s="57" t="s">
        <v>149</v>
      </c>
      <c r="O64" s="31" t="s">
        <v>365</v>
      </c>
      <c r="P64" s="31"/>
      <c r="Q64" s="27"/>
      <c r="R64" s="27"/>
      <c r="S64" s="28"/>
    </row>
    <row r="65" ht="27" spans="1:19">
      <c r="A65" s="47" t="s">
        <v>137</v>
      </c>
      <c r="B65" s="47" t="s">
        <v>101</v>
      </c>
      <c r="C65" s="47" t="s">
        <v>138</v>
      </c>
      <c r="D65" s="47" t="s">
        <v>139</v>
      </c>
      <c r="E65" s="47" t="s">
        <v>362</v>
      </c>
      <c r="F65" s="47">
        <v>8</v>
      </c>
      <c r="G65" s="47" t="s">
        <v>141</v>
      </c>
      <c r="H65" s="47">
        <v>31</v>
      </c>
      <c r="I65" s="47">
        <v>8</v>
      </c>
      <c r="J65" s="47" t="s">
        <v>30</v>
      </c>
      <c r="K65" s="90" t="s">
        <v>554</v>
      </c>
      <c r="L65" s="90" t="s">
        <v>692</v>
      </c>
      <c r="M65" s="28" t="s">
        <v>144</v>
      </c>
      <c r="N65" s="57" t="s">
        <v>145</v>
      </c>
      <c r="O65" s="31" t="s">
        <v>365</v>
      </c>
      <c r="P65" s="31"/>
      <c r="Q65" s="27"/>
      <c r="R65" s="27"/>
      <c r="S65" s="28"/>
    </row>
    <row r="66" ht="40.5" spans="1:19">
      <c r="A66" s="30" t="s">
        <v>189</v>
      </c>
      <c r="B66" s="30" t="s">
        <v>101</v>
      </c>
      <c r="C66" s="30" t="s">
        <v>205</v>
      </c>
      <c r="D66" s="30" t="s">
        <v>206</v>
      </c>
      <c r="E66" s="30" t="s">
        <v>207</v>
      </c>
      <c r="F66" s="30">
        <v>3</v>
      </c>
      <c r="G66" s="30" t="s">
        <v>208</v>
      </c>
      <c r="H66" s="30">
        <v>13</v>
      </c>
      <c r="I66" s="30">
        <v>3</v>
      </c>
      <c r="J66" s="30" t="s">
        <v>170</v>
      </c>
      <c r="K66" s="87" t="s">
        <v>693</v>
      </c>
      <c r="L66" s="87" t="s">
        <v>694</v>
      </c>
      <c r="M66" s="87" t="s">
        <v>144</v>
      </c>
      <c r="N66" s="87" t="s">
        <v>145</v>
      </c>
      <c r="O66" s="31" t="s">
        <v>512</v>
      </c>
      <c r="P66" s="31"/>
      <c r="Q66" s="27"/>
      <c r="R66" s="27"/>
      <c r="S66" s="28"/>
    </row>
    <row r="67" ht="40.5" spans="1:19">
      <c r="A67" s="30" t="s">
        <v>189</v>
      </c>
      <c r="B67" s="30" t="s">
        <v>101</v>
      </c>
      <c r="C67" s="30" t="s">
        <v>205</v>
      </c>
      <c r="D67" s="30" t="s">
        <v>206</v>
      </c>
      <c r="E67" s="30" t="s">
        <v>207</v>
      </c>
      <c r="F67" s="30">
        <v>3</v>
      </c>
      <c r="G67" s="30" t="s">
        <v>208</v>
      </c>
      <c r="H67" s="30">
        <v>13</v>
      </c>
      <c r="I67" s="30">
        <v>3</v>
      </c>
      <c r="J67" s="30" t="s">
        <v>170</v>
      </c>
      <c r="K67" s="87" t="s">
        <v>695</v>
      </c>
      <c r="L67" s="87" t="s">
        <v>696</v>
      </c>
      <c r="M67" s="87" t="s">
        <v>144</v>
      </c>
      <c r="N67" s="87" t="s">
        <v>145</v>
      </c>
      <c r="O67" s="31" t="s">
        <v>512</v>
      </c>
      <c r="P67" s="31"/>
      <c r="Q67" s="27"/>
      <c r="R67" s="27"/>
      <c r="S67" s="28"/>
    </row>
    <row r="68" ht="27" spans="1:19">
      <c r="A68" s="31" t="s">
        <v>265</v>
      </c>
      <c r="B68" s="30" t="s">
        <v>101</v>
      </c>
      <c r="C68" s="30" t="s">
        <v>123</v>
      </c>
      <c r="D68" s="30" t="s">
        <v>124</v>
      </c>
      <c r="E68" s="30" t="s">
        <v>125</v>
      </c>
      <c r="F68" s="30">
        <v>4</v>
      </c>
      <c r="G68" s="30" t="s">
        <v>78</v>
      </c>
      <c r="H68" s="30">
        <v>18</v>
      </c>
      <c r="I68" s="30">
        <v>4</v>
      </c>
      <c r="J68" s="30" t="s">
        <v>52</v>
      </c>
      <c r="K68" s="87" t="s">
        <v>697</v>
      </c>
      <c r="L68" s="90" t="s">
        <v>698</v>
      </c>
      <c r="M68" s="28" t="s">
        <v>144</v>
      </c>
      <c r="N68" s="28" t="s">
        <v>145</v>
      </c>
      <c r="O68" s="30" t="s">
        <v>365</v>
      </c>
      <c r="P68" s="31" t="s">
        <v>386</v>
      </c>
      <c r="Q68" s="27"/>
      <c r="R68" s="27"/>
      <c r="S68" s="28"/>
    </row>
    <row r="69" spans="1:19">
      <c r="A69" s="15" t="s">
        <v>287</v>
      </c>
      <c r="B69" s="91" t="s">
        <v>101</v>
      </c>
      <c r="C69" s="91" t="s">
        <v>435</v>
      </c>
      <c r="D69" s="91" t="s">
        <v>436</v>
      </c>
      <c r="E69" s="91" t="s">
        <v>389</v>
      </c>
      <c r="F69" s="91">
        <v>11</v>
      </c>
      <c r="G69" s="91">
        <v>2024.11</v>
      </c>
      <c r="H69" s="91">
        <v>22</v>
      </c>
      <c r="I69" s="91">
        <v>11</v>
      </c>
      <c r="J69" s="91" t="s">
        <v>170</v>
      </c>
      <c r="K69" s="90" t="s">
        <v>699</v>
      </c>
      <c r="L69" s="90" t="s">
        <v>700</v>
      </c>
      <c r="M69" s="28" t="s">
        <v>144</v>
      </c>
      <c r="N69" s="28" t="s">
        <v>145</v>
      </c>
      <c r="O69" s="91"/>
      <c r="P69" s="91"/>
      <c r="Q69" s="88"/>
      <c r="R69" s="88"/>
      <c r="S69" s="108"/>
    </row>
    <row r="70" spans="1:19">
      <c r="A70" s="15" t="s">
        <v>287</v>
      </c>
      <c r="B70" s="91" t="s">
        <v>101</v>
      </c>
      <c r="C70" s="91" t="s">
        <v>435</v>
      </c>
      <c r="D70" s="91" t="s">
        <v>436</v>
      </c>
      <c r="E70" s="91" t="s">
        <v>389</v>
      </c>
      <c r="F70" s="91">
        <v>11</v>
      </c>
      <c r="G70" s="91">
        <v>2024.11</v>
      </c>
      <c r="H70" s="91">
        <v>22</v>
      </c>
      <c r="I70" s="91">
        <v>11</v>
      </c>
      <c r="J70" s="91" t="s">
        <v>170</v>
      </c>
      <c r="K70" s="90" t="s">
        <v>701</v>
      </c>
      <c r="L70" s="90" t="s">
        <v>702</v>
      </c>
      <c r="M70" s="28" t="s">
        <v>144</v>
      </c>
      <c r="N70" s="28" t="s">
        <v>145</v>
      </c>
      <c r="O70" s="91"/>
      <c r="P70" s="91"/>
      <c r="Q70" s="88"/>
      <c r="R70" s="88"/>
      <c r="S70" s="108"/>
    </row>
    <row r="71" spans="1:19">
      <c r="A71" s="15" t="s">
        <v>287</v>
      </c>
      <c r="B71" s="91" t="s">
        <v>101</v>
      </c>
      <c r="C71" s="91" t="s">
        <v>435</v>
      </c>
      <c r="D71" s="91" t="s">
        <v>436</v>
      </c>
      <c r="E71" s="91" t="s">
        <v>389</v>
      </c>
      <c r="F71" s="91">
        <v>11</v>
      </c>
      <c r="G71" s="91">
        <v>2024.11</v>
      </c>
      <c r="H71" s="91">
        <v>22</v>
      </c>
      <c r="I71" s="91">
        <v>11</v>
      </c>
      <c r="J71" s="91" t="s">
        <v>170</v>
      </c>
      <c r="K71" s="90" t="s">
        <v>703</v>
      </c>
      <c r="L71" s="90" t="s">
        <v>704</v>
      </c>
      <c r="M71" s="28" t="s">
        <v>144</v>
      </c>
      <c r="N71" s="28" t="s">
        <v>145</v>
      </c>
      <c r="O71" s="91"/>
      <c r="P71" s="91"/>
      <c r="Q71" s="88"/>
      <c r="R71" s="88"/>
      <c r="S71" s="108"/>
    </row>
    <row r="72" ht="57" spans="1:19">
      <c r="A72" s="30" t="s">
        <v>24</v>
      </c>
      <c r="B72" s="28" t="s">
        <v>101</v>
      </c>
      <c r="C72" s="92" t="s">
        <v>705</v>
      </c>
      <c r="D72" s="28" t="s">
        <v>706</v>
      </c>
      <c r="E72" s="93" t="s">
        <v>707</v>
      </c>
      <c r="F72" s="28">
        <v>1</v>
      </c>
      <c r="G72" s="28">
        <v>2024.1</v>
      </c>
      <c r="H72" s="28">
        <v>31</v>
      </c>
      <c r="I72" s="28">
        <v>1</v>
      </c>
      <c r="J72" s="28" t="s">
        <v>170</v>
      </c>
      <c r="K72" s="98" t="s">
        <v>708</v>
      </c>
      <c r="L72" s="99" t="s">
        <v>709</v>
      </c>
      <c r="M72" s="27" t="s">
        <v>144</v>
      </c>
      <c r="N72" s="57" t="s">
        <v>145</v>
      </c>
      <c r="O72" s="24" t="s">
        <v>710</v>
      </c>
      <c r="P72" s="24" t="s">
        <v>710</v>
      </c>
      <c r="Q72" s="24"/>
      <c r="R72" s="24" t="s">
        <v>393</v>
      </c>
      <c r="S72" s="24"/>
    </row>
    <row r="73" ht="42.75" spans="1:19">
      <c r="A73" s="30" t="s">
        <v>24</v>
      </c>
      <c r="B73" s="30" t="s">
        <v>101</v>
      </c>
      <c r="C73" s="30" t="s">
        <v>387</v>
      </c>
      <c r="D73" s="30" t="s">
        <v>388</v>
      </c>
      <c r="E73" s="30" t="s">
        <v>389</v>
      </c>
      <c r="F73" s="30">
        <v>20</v>
      </c>
      <c r="G73" s="30">
        <v>2024.11</v>
      </c>
      <c r="H73" s="30">
        <v>22</v>
      </c>
      <c r="I73" s="30">
        <v>20</v>
      </c>
      <c r="J73" s="30" t="s">
        <v>170</v>
      </c>
      <c r="K73" s="99" t="s">
        <v>390</v>
      </c>
      <c r="L73" s="99" t="s">
        <v>391</v>
      </c>
      <c r="M73" s="28" t="s">
        <v>392</v>
      </c>
      <c r="N73" s="57" t="s">
        <v>149</v>
      </c>
      <c r="O73" s="24" t="s">
        <v>393</v>
      </c>
      <c r="P73" s="24" t="s">
        <v>394</v>
      </c>
      <c r="Q73" s="24" t="s">
        <v>395</v>
      </c>
      <c r="R73" s="24"/>
      <c r="S73" s="24"/>
    </row>
    <row r="74" ht="28.5" spans="1:19">
      <c r="A74" s="30" t="s">
        <v>24</v>
      </c>
      <c r="B74" s="30" t="s">
        <v>101</v>
      </c>
      <c r="C74" s="30" t="s">
        <v>387</v>
      </c>
      <c r="D74" s="30" t="s">
        <v>388</v>
      </c>
      <c r="E74" s="30" t="s">
        <v>389</v>
      </c>
      <c r="F74" s="30">
        <v>20</v>
      </c>
      <c r="G74" s="30">
        <v>2024.11</v>
      </c>
      <c r="H74" s="30">
        <v>22</v>
      </c>
      <c r="I74" s="30">
        <v>20</v>
      </c>
      <c r="J74" s="30" t="s">
        <v>170</v>
      </c>
      <c r="K74" s="99" t="s">
        <v>711</v>
      </c>
      <c r="L74" s="99" t="s">
        <v>712</v>
      </c>
      <c r="M74" s="27" t="s">
        <v>144</v>
      </c>
      <c r="N74" s="57" t="s">
        <v>145</v>
      </c>
      <c r="O74" s="24" t="s">
        <v>393</v>
      </c>
      <c r="P74" s="24" t="s">
        <v>394</v>
      </c>
      <c r="Q74" s="24" t="s">
        <v>395</v>
      </c>
      <c r="R74" s="24"/>
      <c r="S74" s="24"/>
    </row>
    <row r="75" ht="28.5" spans="1:19">
      <c r="A75" s="30" t="s">
        <v>24</v>
      </c>
      <c r="B75" s="30" t="s">
        <v>101</v>
      </c>
      <c r="C75" s="30" t="s">
        <v>387</v>
      </c>
      <c r="D75" s="30" t="s">
        <v>388</v>
      </c>
      <c r="E75" s="30" t="s">
        <v>389</v>
      </c>
      <c r="F75" s="30">
        <v>20</v>
      </c>
      <c r="G75" s="30">
        <v>2024.11</v>
      </c>
      <c r="H75" s="30">
        <v>22</v>
      </c>
      <c r="I75" s="30">
        <v>20</v>
      </c>
      <c r="J75" s="30" t="s">
        <v>170</v>
      </c>
      <c r="K75" s="99" t="s">
        <v>713</v>
      </c>
      <c r="L75" s="99" t="s">
        <v>714</v>
      </c>
      <c r="M75" s="27" t="s">
        <v>144</v>
      </c>
      <c r="N75" s="57" t="s">
        <v>145</v>
      </c>
      <c r="O75" s="24" t="s">
        <v>393</v>
      </c>
      <c r="P75" s="24" t="s">
        <v>394</v>
      </c>
      <c r="Q75" s="24" t="s">
        <v>395</v>
      </c>
      <c r="R75" s="24"/>
      <c r="S75" s="24"/>
    </row>
    <row r="76" ht="85.5" spans="1:19">
      <c r="A76" s="30" t="s">
        <v>24</v>
      </c>
      <c r="B76" s="30" t="s">
        <v>101</v>
      </c>
      <c r="C76" s="30" t="s">
        <v>387</v>
      </c>
      <c r="D76" s="30" t="s">
        <v>388</v>
      </c>
      <c r="E76" s="30" t="s">
        <v>389</v>
      </c>
      <c r="F76" s="30">
        <v>20</v>
      </c>
      <c r="G76" s="30">
        <v>2024.11</v>
      </c>
      <c r="H76" s="30">
        <v>22</v>
      </c>
      <c r="I76" s="30">
        <v>20</v>
      </c>
      <c r="J76" s="30" t="s">
        <v>170</v>
      </c>
      <c r="K76" s="99" t="s">
        <v>715</v>
      </c>
      <c r="L76" s="99" t="s">
        <v>716</v>
      </c>
      <c r="M76" s="27" t="s">
        <v>144</v>
      </c>
      <c r="N76" s="57" t="s">
        <v>145</v>
      </c>
      <c r="O76" s="24" t="s">
        <v>393</v>
      </c>
      <c r="P76" s="24" t="s">
        <v>394</v>
      </c>
      <c r="Q76" s="24" t="s">
        <v>395</v>
      </c>
      <c r="R76" s="24"/>
      <c r="S76" s="24"/>
    </row>
    <row r="77" ht="114" spans="1:19">
      <c r="A77" s="30" t="s">
        <v>24</v>
      </c>
      <c r="B77" s="30" t="s">
        <v>101</v>
      </c>
      <c r="C77" s="30" t="s">
        <v>387</v>
      </c>
      <c r="D77" s="30" t="s">
        <v>388</v>
      </c>
      <c r="E77" s="30" t="s">
        <v>389</v>
      </c>
      <c r="F77" s="30">
        <v>20</v>
      </c>
      <c r="G77" s="30">
        <v>2024.11</v>
      </c>
      <c r="H77" s="30">
        <v>22</v>
      </c>
      <c r="I77" s="30">
        <v>20</v>
      </c>
      <c r="J77" s="30" t="s">
        <v>170</v>
      </c>
      <c r="K77" s="99" t="s">
        <v>396</v>
      </c>
      <c r="L77" s="99" t="s">
        <v>397</v>
      </c>
      <c r="M77" s="28" t="s">
        <v>392</v>
      </c>
      <c r="N77" s="57" t="s">
        <v>149</v>
      </c>
      <c r="O77" s="24" t="s">
        <v>393</v>
      </c>
      <c r="P77" s="24" t="s">
        <v>394</v>
      </c>
      <c r="Q77" s="24" t="s">
        <v>395</v>
      </c>
      <c r="R77" s="24"/>
      <c r="S77" s="24"/>
    </row>
    <row r="78" ht="42.75" spans="1:19">
      <c r="A78" s="30" t="s">
        <v>24</v>
      </c>
      <c r="B78" s="30" t="s">
        <v>101</v>
      </c>
      <c r="C78" s="30" t="s">
        <v>387</v>
      </c>
      <c r="D78" s="30" t="s">
        <v>388</v>
      </c>
      <c r="E78" s="30" t="s">
        <v>389</v>
      </c>
      <c r="F78" s="30">
        <v>20</v>
      </c>
      <c r="G78" s="30">
        <v>2024.11</v>
      </c>
      <c r="H78" s="30">
        <v>22</v>
      </c>
      <c r="I78" s="30">
        <v>20</v>
      </c>
      <c r="J78" s="30" t="s">
        <v>170</v>
      </c>
      <c r="K78" s="99" t="s">
        <v>398</v>
      </c>
      <c r="L78" s="99" t="s">
        <v>399</v>
      </c>
      <c r="M78" s="28" t="s">
        <v>392</v>
      </c>
      <c r="N78" s="57" t="s">
        <v>149</v>
      </c>
      <c r="O78" s="24" t="s">
        <v>393</v>
      </c>
      <c r="P78" s="24" t="s">
        <v>394</v>
      </c>
      <c r="Q78" s="24" t="s">
        <v>395</v>
      </c>
      <c r="R78" s="24"/>
      <c r="S78" s="24"/>
    </row>
    <row r="79" ht="27" spans="1:19">
      <c r="A79" s="30" t="s">
        <v>24</v>
      </c>
      <c r="B79" s="47" t="s">
        <v>101</v>
      </c>
      <c r="C79" s="47" t="s">
        <v>400</v>
      </c>
      <c r="D79" s="47" t="s">
        <v>401</v>
      </c>
      <c r="E79" s="47" t="s">
        <v>402</v>
      </c>
      <c r="F79" s="47">
        <v>77</v>
      </c>
      <c r="G79" s="47">
        <v>2024.9</v>
      </c>
      <c r="H79" s="47">
        <v>22</v>
      </c>
      <c r="I79" s="47">
        <v>77</v>
      </c>
      <c r="J79" s="47" t="s">
        <v>30</v>
      </c>
      <c r="K79" s="100" t="s">
        <v>403</v>
      </c>
      <c r="L79" s="101" t="s">
        <v>404</v>
      </c>
      <c r="M79" s="28" t="s">
        <v>392</v>
      </c>
      <c r="N79" s="57" t="s">
        <v>149</v>
      </c>
      <c r="O79" s="24" t="s">
        <v>405</v>
      </c>
      <c r="P79" s="24" t="s">
        <v>372</v>
      </c>
      <c r="Q79" s="24"/>
      <c r="R79" s="24"/>
      <c r="S79" s="24"/>
    </row>
    <row r="80" ht="27" spans="1:19">
      <c r="A80" s="30" t="s">
        <v>24</v>
      </c>
      <c r="B80" s="47" t="s">
        <v>101</v>
      </c>
      <c r="C80" s="47" t="s">
        <v>400</v>
      </c>
      <c r="D80" s="47" t="s">
        <v>401</v>
      </c>
      <c r="E80" s="47" t="s">
        <v>402</v>
      </c>
      <c r="F80" s="47">
        <v>77</v>
      </c>
      <c r="G80" s="47">
        <v>2024.9</v>
      </c>
      <c r="H80" s="47">
        <v>22</v>
      </c>
      <c r="I80" s="47">
        <v>77</v>
      </c>
      <c r="J80" s="47" t="s">
        <v>30</v>
      </c>
      <c r="K80" s="100" t="s">
        <v>406</v>
      </c>
      <c r="L80" s="101" t="s">
        <v>407</v>
      </c>
      <c r="M80" s="28" t="s">
        <v>392</v>
      </c>
      <c r="N80" s="57" t="s">
        <v>149</v>
      </c>
      <c r="O80" s="24" t="s">
        <v>405</v>
      </c>
      <c r="P80" s="24" t="s">
        <v>372</v>
      </c>
      <c r="Q80" s="24"/>
      <c r="R80" s="24"/>
      <c r="S80" s="24"/>
    </row>
    <row r="81" ht="54" spans="1:19">
      <c r="A81" s="14" t="s">
        <v>47</v>
      </c>
      <c r="B81" s="14" t="s">
        <v>25</v>
      </c>
      <c r="C81" s="14" t="s">
        <v>48</v>
      </c>
      <c r="D81" s="84" t="s">
        <v>368</v>
      </c>
      <c r="E81" s="84" t="s">
        <v>369</v>
      </c>
      <c r="F81" s="84">
        <v>1</v>
      </c>
      <c r="G81" s="84">
        <v>2024.7</v>
      </c>
      <c r="H81" s="84">
        <v>19</v>
      </c>
      <c r="I81" s="84">
        <v>1</v>
      </c>
      <c r="J81" s="21" t="s">
        <v>52</v>
      </c>
      <c r="K81" s="22" t="s">
        <v>717</v>
      </c>
      <c r="L81" s="22" t="s">
        <v>718</v>
      </c>
      <c r="M81" s="31" t="s">
        <v>144</v>
      </c>
      <c r="N81" s="24" t="s">
        <v>145</v>
      </c>
      <c r="O81" s="24" t="s">
        <v>365</v>
      </c>
      <c r="P81" s="24" t="s">
        <v>372</v>
      </c>
      <c r="Q81" s="27"/>
      <c r="R81" s="27"/>
      <c r="S81" s="28"/>
    </row>
    <row r="82" ht="40.5" spans="1:19">
      <c r="A82" s="14" t="s">
        <v>47</v>
      </c>
      <c r="B82" s="14" t="s">
        <v>25</v>
      </c>
      <c r="C82" s="14" t="s">
        <v>48</v>
      </c>
      <c r="D82" s="84" t="s">
        <v>368</v>
      </c>
      <c r="E82" s="84" t="s">
        <v>369</v>
      </c>
      <c r="F82" s="84">
        <v>1</v>
      </c>
      <c r="G82" s="84">
        <v>2024.7</v>
      </c>
      <c r="H82" s="84">
        <v>19</v>
      </c>
      <c r="I82" s="84">
        <v>1</v>
      </c>
      <c r="J82" s="21" t="s">
        <v>52</v>
      </c>
      <c r="K82" s="22" t="s">
        <v>719</v>
      </c>
      <c r="L82" s="22" t="s">
        <v>720</v>
      </c>
      <c r="M82" s="31" t="s">
        <v>144</v>
      </c>
      <c r="N82" s="24" t="s">
        <v>145</v>
      </c>
      <c r="O82" s="24" t="s">
        <v>365</v>
      </c>
      <c r="P82" s="24" t="s">
        <v>372</v>
      </c>
      <c r="Q82" s="27"/>
      <c r="R82" s="27"/>
      <c r="S82" s="28"/>
    </row>
    <row r="83" ht="40.5" spans="1:19">
      <c r="A83" s="14" t="s">
        <v>47</v>
      </c>
      <c r="B83" s="14" t="s">
        <v>25</v>
      </c>
      <c r="C83" s="14" t="s">
        <v>48</v>
      </c>
      <c r="D83" s="21" t="s">
        <v>460</v>
      </c>
      <c r="E83" s="15" t="s">
        <v>461</v>
      </c>
      <c r="F83" s="15">
        <v>1</v>
      </c>
      <c r="G83" s="15">
        <v>2025.2</v>
      </c>
      <c r="H83" s="15">
        <v>27</v>
      </c>
      <c r="I83" s="15">
        <v>1</v>
      </c>
      <c r="J83" s="21" t="s">
        <v>52</v>
      </c>
      <c r="K83" s="22" t="s">
        <v>721</v>
      </c>
      <c r="L83" s="22" t="s">
        <v>722</v>
      </c>
      <c r="M83" s="31" t="s">
        <v>144</v>
      </c>
      <c r="N83" s="24" t="s">
        <v>145</v>
      </c>
      <c r="O83" s="24" t="s">
        <v>365</v>
      </c>
      <c r="P83" s="24" t="s">
        <v>372</v>
      </c>
      <c r="Q83" s="27"/>
      <c r="R83" s="27"/>
      <c r="S83" s="28"/>
    </row>
    <row r="84" spans="1:19">
      <c r="A84" s="14" t="s">
        <v>47</v>
      </c>
      <c r="B84" s="14" t="s">
        <v>25</v>
      </c>
      <c r="C84" s="14" t="s">
        <v>48</v>
      </c>
      <c r="D84" s="94" t="s">
        <v>464</v>
      </c>
      <c r="E84" s="94" t="s">
        <v>465</v>
      </c>
      <c r="F84" s="94">
        <v>1</v>
      </c>
      <c r="G84" s="94">
        <v>2025.3</v>
      </c>
      <c r="H84" s="94">
        <v>4</v>
      </c>
      <c r="I84" s="94">
        <v>1</v>
      </c>
      <c r="J84" s="21" t="s">
        <v>52</v>
      </c>
      <c r="K84" s="23" t="s">
        <v>723</v>
      </c>
      <c r="L84" s="23" t="s">
        <v>724</v>
      </c>
      <c r="M84" s="102" t="s">
        <v>144</v>
      </c>
      <c r="N84" s="23" t="s">
        <v>145</v>
      </c>
      <c r="O84" s="24" t="s">
        <v>365</v>
      </c>
      <c r="P84" s="24" t="s">
        <v>372</v>
      </c>
      <c r="Q84" s="27"/>
      <c r="R84" s="27"/>
      <c r="S84" s="28"/>
    </row>
    <row r="85" ht="27" spans="1:19">
      <c r="A85" s="95" t="s">
        <v>100</v>
      </c>
      <c r="B85" s="47" t="s">
        <v>101</v>
      </c>
      <c r="C85" s="47" t="s">
        <v>102</v>
      </c>
      <c r="D85" s="47" t="s">
        <v>103</v>
      </c>
      <c r="E85" s="47" t="s">
        <v>477</v>
      </c>
      <c r="F85" s="47">
        <v>4</v>
      </c>
      <c r="G85" s="47">
        <v>2024.12</v>
      </c>
      <c r="H85" s="47">
        <v>30</v>
      </c>
      <c r="I85" s="47">
        <v>4</v>
      </c>
      <c r="J85" s="103" t="s">
        <v>170</v>
      </c>
      <c r="K85" s="22" t="s">
        <v>725</v>
      </c>
      <c r="L85" s="22" t="s">
        <v>726</v>
      </c>
      <c r="M85" s="87" t="s">
        <v>144</v>
      </c>
      <c r="N85" s="104" t="s">
        <v>145</v>
      </c>
      <c r="O85" s="24" t="s">
        <v>411</v>
      </c>
      <c r="P85" s="24" t="s">
        <v>372</v>
      </c>
      <c r="Q85" s="27"/>
      <c r="R85" s="24" t="s">
        <v>372</v>
      </c>
      <c r="S85" s="28"/>
    </row>
    <row r="86" ht="27" spans="1:19">
      <c r="A86" s="95" t="s">
        <v>100</v>
      </c>
      <c r="B86" s="47" t="s">
        <v>101</v>
      </c>
      <c r="C86" s="47" t="s">
        <v>102</v>
      </c>
      <c r="D86" s="47" t="s">
        <v>103</v>
      </c>
      <c r="E86" s="47" t="s">
        <v>477</v>
      </c>
      <c r="F86" s="47">
        <v>4</v>
      </c>
      <c r="G86" s="47">
        <v>2024.12</v>
      </c>
      <c r="H86" s="47">
        <v>30</v>
      </c>
      <c r="I86" s="47">
        <v>4</v>
      </c>
      <c r="J86" s="103" t="s">
        <v>170</v>
      </c>
      <c r="K86" s="22" t="s">
        <v>727</v>
      </c>
      <c r="L86" s="22" t="s">
        <v>728</v>
      </c>
      <c r="M86" s="87" t="s">
        <v>144</v>
      </c>
      <c r="N86" s="104" t="s">
        <v>145</v>
      </c>
      <c r="O86" s="24" t="s">
        <v>411</v>
      </c>
      <c r="P86" s="24" t="s">
        <v>372</v>
      </c>
      <c r="Q86" s="27"/>
      <c r="R86" s="24" t="s">
        <v>372</v>
      </c>
      <c r="S86" s="28"/>
    </row>
    <row r="87" ht="27" spans="1:19">
      <c r="A87" s="95" t="s">
        <v>100</v>
      </c>
      <c r="B87" s="47" t="s">
        <v>101</v>
      </c>
      <c r="C87" s="47" t="s">
        <v>102</v>
      </c>
      <c r="D87" s="47" t="s">
        <v>103</v>
      </c>
      <c r="E87" s="47" t="s">
        <v>477</v>
      </c>
      <c r="F87" s="47">
        <v>4</v>
      </c>
      <c r="G87" s="47">
        <v>2024.12</v>
      </c>
      <c r="H87" s="47">
        <v>30</v>
      </c>
      <c r="I87" s="47">
        <v>4</v>
      </c>
      <c r="J87" s="103" t="s">
        <v>170</v>
      </c>
      <c r="K87" s="22" t="s">
        <v>729</v>
      </c>
      <c r="L87" s="22" t="s">
        <v>730</v>
      </c>
      <c r="M87" s="87" t="s">
        <v>144</v>
      </c>
      <c r="N87" s="104" t="s">
        <v>149</v>
      </c>
      <c r="O87" s="24" t="s">
        <v>411</v>
      </c>
      <c r="P87" s="24" t="s">
        <v>372</v>
      </c>
      <c r="Q87" s="27"/>
      <c r="R87" s="24" t="s">
        <v>372</v>
      </c>
      <c r="S87" s="28"/>
    </row>
    <row r="88" ht="27" spans="1:19">
      <c r="A88" s="21" t="s">
        <v>166</v>
      </c>
      <c r="B88" s="96" t="s">
        <v>25</v>
      </c>
      <c r="C88" s="96" t="s">
        <v>167</v>
      </c>
      <c r="D88" s="96" t="s">
        <v>731</v>
      </c>
      <c r="E88" s="96" t="s">
        <v>732</v>
      </c>
      <c r="F88" s="96">
        <v>2</v>
      </c>
      <c r="G88" s="96">
        <v>2025.3</v>
      </c>
      <c r="H88" s="96">
        <v>18</v>
      </c>
      <c r="I88" s="96">
        <v>2</v>
      </c>
      <c r="J88" s="21" t="s">
        <v>170</v>
      </c>
      <c r="K88" s="22" t="s">
        <v>733</v>
      </c>
      <c r="L88" s="22" t="s">
        <v>734</v>
      </c>
      <c r="M88" s="30" t="s">
        <v>144</v>
      </c>
      <c r="N88" s="30" t="s">
        <v>145</v>
      </c>
      <c r="O88" s="24" t="s">
        <v>735</v>
      </c>
      <c r="P88" s="24" t="s">
        <v>405</v>
      </c>
      <c r="Q88" s="31"/>
      <c r="R88" s="31"/>
      <c r="S88" s="30"/>
    </row>
    <row r="89" spans="1:19">
      <c r="A89" s="21" t="s">
        <v>166</v>
      </c>
      <c r="B89" s="96"/>
      <c r="C89" s="96"/>
      <c r="D89" s="96"/>
      <c r="E89" s="96"/>
      <c r="F89" s="96"/>
      <c r="G89" s="96"/>
      <c r="H89" s="96"/>
      <c r="I89" s="96"/>
      <c r="J89" s="21" t="s">
        <v>170</v>
      </c>
      <c r="K89" s="22" t="s">
        <v>736</v>
      </c>
      <c r="L89" s="22" t="s">
        <v>737</v>
      </c>
      <c r="M89" s="30" t="s">
        <v>144</v>
      </c>
      <c r="N89" s="30" t="s">
        <v>145</v>
      </c>
      <c r="O89" s="24" t="s">
        <v>735</v>
      </c>
      <c r="P89" s="24" t="s">
        <v>405</v>
      </c>
      <c r="Q89" s="31"/>
      <c r="R89" s="31"/>
      <c r="S89" s="30"/>
    </row>
    <row r="90" ht="71.25" spans="1:19">
      <c r="A90" s="21" t="s">
        <v>166</v>
      </c>
      <c r="B90" s="97" t="s">
        <v>25</v>
      </c>
      <c r="C90" s="97" t="s">
        <v>738</v>
      </c>
      <c r="D90" s="97" t="s">
        <v>739</v>
      </c>
      <c r="E90" s="97" t="s">
        <v>178</v>
      </c>
      <c r="F90" s="97">
        <v>4</v>
      </c>
      <c r="G90" s="97">
        <v>2024.8</v>
      </c>
      <c r="H90" s="97">
        <v>30</v>
      </c>
      <c r="I90" s="97">
        <v>4</v>
      </c>
      <c r="J90" s="21" t="s">
        <v>170</v>
      </c>
      <c r="K90" s="22" t="s">
        <v>740</v>
      </c>
      <c r="L90" s="22" t="s">
        <v>741</v>
      </c>
      <c r="M90" s="30" t="s">
        <v>144</v>
      </c>
      <c r="N90" s="30" t="s">
        <v>145</v>
      </c>
      <c r="O90" s="57" t="s">
        <v>742</v>
      </c>
      <c r="P90" s="57">
        <v>20253.31</v>
      </c>
      <c r="Q90" s="31"/>
      <c r="R90" s="31"/>
      <c r="S90" s="30"/>
    </row>
    <row r="91" ht="28.5" spans="1:19">
      <c r="A91" s="21" t="s">
        <v>137</v>
      </c>
      <c r="B91" s="21" t="s">
        <v>101</v>
      </c>
      <c r="C91" s="21" t="s">
        <v>138</v>
      </c>
      <c r="D91" s="21" t="s">
        <v>139</v>
      </c>
      <c r="E91" s="21" t="s">
        <v>362</v>
      </c>
      <c r="F91" s="21">
        <v>8</v>
      </c>
      <c r="G91" s="21" t="s">
        <v>141</v>
      </c>
      <c r="H91" s="21">
        <v>31</v>
      </c>
      <c r="I91" s="21">
        <v>8</v>
      </c>
      <c r="J91" s="21" t="s">
        <v>30</v>
      </c>
      <c r="K91" s="105" t="s">
        <v>408</v>
      </c>
      <c r="L91" s="22" t="s">
        <v>409</v>
      </c>
      <c r="M91" s="90" t="s">
        <v>410</v>
      </c>
      <c r="N91" s="104" t="s">
        <v>149</v>
      </c>
      <c r="O91" s="24" t="s">
        <v>411</v>
      </c>
      <c r="P91" s="24" t="s">
        <v>372</v>
      </c>
      <c r="Q91" s="31"/>
      <c r="R91" s="31"/>
      <c r="S91" s="30"/>
    </row>
    <row r="92" ht="40.5" spans="1:19">
      <c r="A92" s="21" t="s">
        <v>137</v>
      </c>
      <c r="B92" s="21" t="s">
        <v>101</v>
      </c>
      <c r="C92" s="21" t="s">
        <v>138</v>
      </c>
      <c r="D92" s="21" t="s">
        <v>139</v>
      </c>
      <c r="E92" s="21" t="s">
        <v>362</v>
      </c>
      <c r="F92" s="21">
        <v>8</v>
      </c>
      <c r="G92" s="21" t="s">
        <v>141</v>
      </c>
      <c r="H92" s="21">
        <v>31</v>
      </c>
      <c r="I92" s="21">
        <v>8</v>
      </c>
      <c r="J92" s="21" t="s">
        <v>30</v>
      </c>
      <c r="K92" s="22" t="s">
        <v>409</v>
      </c>
      <c r="L92" s="22" t="s">
        <v>412</v>
      </c>
      <c r="M92" s="90" t="s">
        <v>410</v>
      </c>
      <c r="N92" s="104" t="s">
        <v>149</v>
      </c>
      <c r="O92" s="24" t="s">
        <v>411</v>
      </c>
      <c r="P92" s="24" t="s">
        <v>372</v>
      </c>
      <c r="Q92" s="31"/>
      <c r="R92" s="31"/>
      <c r="S92" s="30"/>
    </row>
    <row r="93" ht="94.5" spans="1:19">
      <c r="A93" s="21" t="s">
        <v>137</v>
      </c>
      <c r="B93" s="21" t="s">
        <v>101</v>
      </c>
      <c r="C93" s="21" t="s">
        <v>138</v>
      </c>
      <c r="D93" s="21" t="s">
        <v>139</v>
      </c>
      <c r="E93" s="21" t="s">
        <v>362</v>
      </c>
      <c r="F93" s="21">
        <v>8</v>
      </c>
      <c r="G93" s="21" t="s">
        <v>141</v>
      </c>
      <c r="H93" s="21">
        <v>31</v>
      </c>
      <c r="I93" s="21">
        <v>8</v>
      </c>
      <c r="J93" s="21" t="s">
        <v>30</v>
      </c>
      <c r="K93" s="22" t="s">
        <v>743</v>
      </c>
      <c r="L93" s="22" t="s">
        <v>744</v>
      </c>
      <c r="M93" s="90" t="s">
        <v>347</v>
      </c>
      <c r="N93" s="106" t="s">
        <v>145</v>
      </c>
      <c r="O93" s="24" t="s">
        <v>411</v>
      </c>
      <c r="P93" s="24" t="s">
        <v>372</v>
      </c>
      <c r="Q93" s="31"/>
      <c r="R93" s="31"/>
      <c r="S93" s="30"/>
    </row>
    <row r="94" ht="54" spans="1:19">
      <c r="A94" s="21" t="s">
        <v>137</v>
      </c>
      <c r="B94" s="21" t="s">
        <v>101</v>
      </c>
      <c r="C94" s="21" t="s">
        <v>138</v>
      </c>
      <c r="D94" s="21" t="s">
        <v>139</v>
      </c>
      <c r="E94" s="21" t="s">
        <v>362</v>
      </c>
      <c r="F94" s="21">
        <v>8</v>
      </c>
      <c r="G94" s="21" t="s">
        <v>141</v>
      </c>
      <c r="H94" s="21">
        <v>31</v>
      </c>
      <c r="I94" s="21">
        <v>8</v>
      </c>
      <c r="J94" s="21" t="s">
        <v>30</v>
      </c>
      <c r="K94" s="22" t="s">
        <v>745</v>
      </c>
      <c r="L94" s="22" t="s">
        <v>746</v>
      </c>
      <c r="M94" s="90" t="s">
        <v>347</v>
      </c>
      <c r="N94" s="106" t="s">
        <v>145</v>
      </c>
      <c r="O94" s="24" t="s">
        <v>411</v>
      </c>
      <c r="P94" s="24" t="s">
        <v>372</v>
      </c>
      <c r="Q94" s="31"/>
      <c r="R94" s="31"/>
      <c r="S94" s="30"/>
    </row>
    <row r="95" ht="54" spans="1:19">
      <c r="A95" s="21" t="s">
        <v>137</v>
      </c>
      <c r="B95" s="21" t="s">
        <v>101</v>
      </c>
      <c r="C95" s="21" t="s">
        <v>138</v>
      </c>
      <c r="D95" s="21" t="s">
        <v>139</v>
      </c>
      <c r="E95" s="21" t="s">
        <v>362</v>
      </c>
      <c r="F95" s="21">
        <v>8</v>
      </c>
      <c r="G95" s="21" t="s">
        <v>141</v>
      </c>
      <c r="H95" s="21">
        <v>31</v>
      </c>
      <c r="I95" s="21">
        <v>8</v>
      </c>
      <c r="J95" s="21" t="s">
        <v>30</v>
      </c>
      <c r="K95" s="22" t="s">
        <v>747</v>
      </c>
      <c r="L95" s="22" t="s">
        <v>746</v>
      </c>
      <c r="M95" s="90" t="s">
        <v>347</v>
      </c>
      <c r="N95" s="106" t="s">
        <v>145</v>
      </c>
      <c r="O95" s="24" t="s">
        <v>411</v>
      </c>
      <c r="P95" s="24" t="s">
        <v>372</v>
      </c>
      <c r="Q95" s="31"/>
      <c r="R95" s="31"/>
      <c r="S95" s="30"/>
    </row>
    <row r="96" ht="28.5" spans="1:19">
      <c r="A96" s="21" t="s">
        <v>137</v>
      </c>
      <c r="B96" s="21" t="s">
        <v>101</v>
      </c>
      <c r="C96" s="21" t="s">
        <v>138</v>
      </c>
      <c r="D96" s="21" t="s">
        <v>139</v>
      </c>
      <c r="E96" s="21" t="s">
        <v>362</v>
      </c>
      <c r="F96" s="21">
        <v>8</v>
      </c>
      <c r="G96" s="21" t="s">
        <v>141</v>
      </c>
      <c r="H96" s="21">
        <v>31</v>
      </c>
      <c r="I96" s="21">
        <v>8</v>
      </c>
      <c r="J96" s="21" t="s">
        <v>30</v>
      </c>
      <c r="K96" s="22" t="s">
        <v>374</v>
      </c>
      <c r="L96" s="22" t="s">
        <v>748</v>
      </c>
      <c r="M96" s="90" t="s">
        <v>347</v>
      </c>
      <c r="N96" s="106" t="s">
        <v>145</v>
      </c>
      <c r="O96" s="24" t="s">
        <v>411</v>
      </c>
      <c r="P96" s="24" t="s">
        <v>372</v>
      </c>
      <c r="Q96" s="31"/>
      <c r="R96" s="31"/>
      <c r="S96" s="30"/>
    </row>
    <row r="97" ht="40.5" spans="1:19">
      <c r="A97" s="21" t="s">
        <v>137</v>
      </c>
      <c r="B97" s="21" t="s">
        <v>101</v>
      </c>
      <c r="C97" s="21" t="s">
        <v>138</v>
      </c>
      <c r="D97" s="21" t="s">
        <v>139</v>
      </c>
      <c r="E97" s="21" t="s">
        <v>362</v>
      </c>
      <c r="F97" s="21">
        <v>8</v>
      </c>
      <c r="G97" s="21" t="s">
        <v>141</v>
      </c>
      <c r="H97" s="21">
        <v>31</v>
      </c>
      <c r="I97" s="21">
        <v>8</v>
      </c>
      <c r="J97" s="21" t="s">
        <v>30</v>
      </c>
      <c r="K97" s="22" t="s">
        <v>749</v>
      </c>
      <c r="L97" s="22" t="s">
        <v>750</v>
      </c>
      <c r="M97" s="90" t="s">
        <v>347</v>
      </c>
      <c r="N97" s="106" t="s">
        <v>145</v>
      </c>
      <c r="O97" s="24" t="s">
        <v>411</v>
      </c>
      <c r="P97" s="24" t="s">
        <v>372</v>
      </c>
      <c r="Q97" s="31"/>
      <c r="R97" s="31"/>
      <c r="S97" s="30"/>
    </row>
    <row r="98" ht="40.5" spans="1:19">
      <c r="A98" s="21" t="s">
        <v>137</v>
      </c>
      <c r="B98" s="21" t="s">
        <v>101</v>
      </c>
      <c r="C98" s="21" t="s">
        <v>138</v>
      </c>
      <c r="D98" s="21" t="s">
        <v>139</v>
      </c>
      <c r="E98" s="21" t="s">
        <v>362</v>
      </c>
      <c r="F98" s="21">
        <v>8</v>
      </c>
      <c r="G98" s="21" t="s">
        <v>141</v>
      </c>
      <c r="H98" s="21">
        <v>31</v>
      </c>
      <c r="I98" s="21">
        <v>8</v>
      </c>
      <c r="J98" s="21" t="s">
        <v>30</v>
      </c>
      <c r="K98" s="22" t="s">
        <v>751</v>
      </c>
      <c r="L98" s="105" t="s">
        <v>752</v>
      </c>
      <c r="M98" s="90" t="s">
        <v>347</v>
      </c>
      <c r="N98" s="106" t="s">
        <v>145</v>
      </c>
      <c r="O98" s="24" t="s">
        <v>411</v>
      </c>
      <c r="P98" s="24" t="s">
        <v>372</v>
      </c>
      <c r="Q98" s="31"/>
      <c r="R98" s="31"/>
      <c r="S98" s="30"/>
    </row>
    <row r="99" ht="108" spans="1:19">
      <c r="A99" s="21" t="s">
        <v>137</v>
      </c>
      <c r="B99" s="21" t="s">
        <v>101</v>
      </c>
      <c r="C99" s="21" t="s">
        <v>138</v>
      </c>
      <c r="D99" s="21" t="s">
        <v>139</v>
      </c>
      <c r="E99" s="21" t="s">
        <v>362</v>
      </c>
      <c r="F99" s="21">
        <v>8</v>
      </c>
      <c r="G99" s="21" t="s">
        <v>141</v>
      </c>
      <c r="H99" s="21">
        <v>31</v>
      </c>
      <c r="I99" s="21">
        <v>8</v>
      </c>
      <c r="J99" s="21" t="s">
        <v>30</v>
      </c>
      <c r="K99" s="22" t="s">
        <v>753</v>
      </c>
      <c r="L99" s="22" t="s">
        <v>754</v>
      </c>
      <c r="M99" s="90" t="s">
        <v>347</v>
      </c>
      <c r="N99" s="106" t="s">
        <v>145</v>
      </c>
      <c r="O99" s="24" t="s">
        <v>411</v>
      </c>
      <c r="P99" s="24" t="s">
        <v>372</v>
      </c>
      <c r="Q99" s="31"/>
      <c r="R99" s="31"/>
      <c r="S99" s="30"/>
    </row>
    <row r="100" ht="54" spans="1:19">
      <c r="A100" s="21" t="s">
        <v>137</v>
      </c>
      <c r="B100" s="21" t="s">
        <v>101</v>
      </c>
      <c r="C100" s="21" t="s">
        <v>138</v>
      </c>
      <c r="D100" s="21" t="s">
        <v>139</v>
      </c>
      <c r="E100" s="21" t="s">
        <v>362</v>
      </c>
      <c r="F100" s="21">
        <v>8</v>
      </c>
      <c r="G100" s="21" t="s">
        <v>141</v>
      </c>
      <c r="H100" s="21">
        <v>31</v>
      </c>
      <c r="I100" s="21">
        <v>8</v>
      </c>
      <c r="J100" s="21" t="s">
        <v>30</v>
      </c>
      <c r="K100" s="22" t="s">
        <v>755</v>
      </c>
      <c r="L100" s="22" t="s">
        <v>755</v>
      </c>
      <c r="M100" s="90" t="s">
        <v>347</v>
      </c>
      <c r="N100" s="106" t="s">
        <v>145</v>
      </c>
      <c r="O100" s="24" t="s">
        <v>411</v>
      </c>
      <c r="P100" s="24" t="s">
        <v>372</v>
      </c>
      <c r="Q100" s="27"/>
      <c r="R100" s="27"/>
      <c r="S100" s="28"/>
    </row>
    <row r="101" ht="67.5" spans="1:19">
      <c r="A101" s="21" t="s">
        <v>137</v>
      </c>
      <c r="B101" s="21" t="s">
        <v>101</v>
      </c>
      <c r="C101" s="21" t="s">
        <v>138</v>
      </c>
      <c r="D101" s="21" t="s">
        <v>139</v>
      </c>
      <c r="E101" s="21" t="s">
        <v>362</v>
      </c>
      <c r="F101" s="21">
        <v>8</v>
      </c>
      <c r="G101" s="21" t="s">
        <v>141</v>
      </c>
      <c r="H101" s="21">
        <v>31</v>
      </c>
      <c r="I101" s="21">
        <v>8</v>
      </c>
      <c r="J101" s="21" t="s">
        <v>30</v>
      </c>
      <c r="K101" s="22" t="s">
        <v>756</v>
      </c>
      <c r="L101" s="22" t="s">
        <v>757</v>
      </c>
      <c r="M101" s="90" t="s">
        <v>347</v>
      </c>
      <c r="N101" s="106" t="s">
        <v>145</v>
      </c>
      <c r="O101" s="24" t="s">
        <v>411</v>
      </c>
      <c r="P101" s="24" t="s">
        <v>372</v>
      </c>
      <c r="Q101" s="27"/>
      <c r="R101" s="27"/>
      <c r="S101" s="28"/>
    </row>
    <row r="102" ht="57" spans="1:19">
      <c r="A102" s="21" t="s">
        <v>137</v>
      </c>
      <c r="B102" s="21" t="s">
        <v>101</v>
      </c>
      <c r="C102" s="21" t="s">
        <v>138</v>
      </c>
      <c r="D102" s="21" t="s">
        <v>139</v>
      </c>
      <c r="E102" s="21" t="s">
        <v>362</v>
      </c>
      <c r="F102" s="21">
        <v>8</v>
      </c>
      <c r="G102" s="21" t="s">
        <v>141</v>
      </c>
      <c r="H102" s="21">
        <v>31</v>
      </c>
      <c r="I102" s="21">
        <v>8</v>
      </c>
      <c r="J102" s="21" t="s">
        <v>30</v>
      </c>
      <c r="K102" s="105" t="s">
        <v>758</v>
      </c>
      <c r="L102" s="105" t="s">
        <v>759</v>
      </c>
      <c r="M102" s="90" t="s">
        <v>347</v>
      </c>
      <c r="N102" s="106" t="s">
        <v>145</v>
      </c>
      <c r="O102" s="24" t="s">
        <v>411</v>
      </c>
      <c r="P102" s="24" t="s">
        <v>372</v>
      </c>
      <c r="Q102" s="27"/>
      <c r="R102" s="27"/>
      <c r="S102" s="28"/>
    </row>
    <row r="103" ht="42.75" spans="1:19">
      <c r="A103" s="21" t="s">
        <v>137</v>
      </c>
      <c r="B103" s="21" t="s">
        <v>101</v>
      </c>
      <c r="C103" s="21" t="s">
        <v>138</v>
      </c>
      <c r="D103" s="21" t="s">
        <v>139</v>
      </c>
      <c r="E103" s="21" t="s">
        <v>362</v>
      </c>
      <c r="F103" s="21">
        <v>8</v>
      </c>
      <c r="G103" s="21" t="s">
        <v>141</v>
      </c>
      <c r="H103" s="21">
        <v>31</v>
      </c>
      <c r="I103" s="21">
        <v>8</v>
      </c>
      <c r="J103" s="21" t="s">
        <v>30</v>
      </c>
      <c r="K103" s="105" t="s">
        <v>760</v>
      </c>
      <c r="L103" s="22" t="s">
        <v>752</v>
      </c>
      <c r="M103" s="90" t="s">
        <v>347</v>
      </c>
      <c r="N103" s="106" t="s">
        <v>145</v>
      </c>
      <c r="O103" s="24" t="s">
        <v>411</v>
      </c>
      <c r="P103" s="24" t="s">
        <v>372</v>
      </c>
      <c r="Q103" s="27"/>
      <c r="R103" s="27"/>
      <c r="S103" s="28"/>
    </row>
    <row r="104" ht="42.75" spans="1:19">
      <c r="A104" s="21" t="s">
        <v>137</v>
      </c>
      <c r="B104" s="21" t="s">
        <v>101</v>
      </c>
      <c r="C104" s="21" t="s">
        <v>138</v>
      </c>
      <c r="D104" s="21" t="s">
        <v>139</v>
      </c>
      <c r="E104" s="21" t="s">
        <v>362</v>
      </c>
      <c r="F104" s="21">
        <v>8</v>
      </c>
      <c r="G104" s="21" t="s">
        <v>141</v>
      </c>
      <c r="H104" s="21">
        <v>31</v>
      </c>
      <c r="I104" s="21">
        <v>8</v>
      </c>
      <c r="J104" s="21" t="s">
        <v>30</v>
      </c>
      <c r="K104" s="105" t="s">
        <v>760</v>
      </c>
      <c r="L104" s="105" t="s">
        <v>761</v>
      </c>
      <c r="M104" s="90" t="s">
        <v>347</v>
      </c>
      <c r="N104" s="106" t="s">
        <v>145</v>
      </c>
      <c r="O104" s="24" t="s">
        <v>411</v>
      </c>
      <c r="P104" s="24" t="s">
        <v>372</v>
      </c>
      <c r="Q104" s="27"/>
      <c r="R104" s="27"/>
      <c r="S104" s="28"/>
    </row>
    <row r="105" ht="28.5" spans="1:19">
      <c r="A105" s="21" t="s">
        <v>137</v>
      </c>
      <c r="B105" s="21" t="s">
        <v>101</v>
      </c>
      <c r="C105" s="21" t="s">
        <v>138</v>
      </c>
      <c r="D105" s="21" t="s">
        <v>139</v>
      </c>
      <c r="E105" s="21" t="s">
        <v>362</v>
      </c>
      <c r="F105" s="21">
        <v>8</v>
      </c>
      <c r="G105" s="21" t="s">
        <v>141</v>
      </c>
      <c r="H105" s="21">
        <v>31</v>
      </c>
      <c r="I105" s="21">
        <v>8</v>
      </c>
      <c r="J105" s="21" t="s">
        <v>30</v>
      </c>
      <c r="K105" s="105" t="s">
        <v>762</v>
      </c>
      <c r="L105" s="22" t="s">
        <v>763</v>
      </c>
      <c r="M105" s="90" t="s">
        <v>347</v>
      </c>
      <c r="N105" s="106" t="s">
        <v>145</v>
      </c>
      <c r="O105" s="24" t="s">
        <v>411</v>
      </c>
      <c r="P105" s="24" t="s">
        <v>372</v>
      </c>
      <c r="Q105" s="27"/>
      <c r="R105" s="27"/>
      <c r="S105" s="28"/>
    </row>
    <row r="106" ht="85.5" spans="1:19">
      <c r="A106" s="21" t="s">
        <v>137</v>
      </c>
      <c r="B106" s="21" t="s">
        <v>101</v>
      </c>
      <c r="C106" s="21" t="s">
        <v>138</v>
      </c>
      <c r="D106" s="21" t="s">
        <v>139</v>
      </c>
      <c r="E106" s="21" t="s">
        <v>362</v>
      </c>
      <c r="F106" s="21">
        <v>8</v>
      </c>
      <c r="G106" s="21" t="s">
        <v>141</v>
      </c>
      <c r="H106" s="21">
        <v>31</v>
      </c>
      <c r="I106" s="21">
        <v>8</v>
      </c>
      <c r="J106" s="21" t="s">
        <v>30</v>
      </c>
      <c r="K106" s="22" t="s">
        <v>764</v>
      </c>
      <c r="L106" s="105" t="s">
        <v>765</v>
      </c>
      <c r="M106" s="90" t="s">
        <v>347</v>
      </c>
      <c r="N106" s="106" t="s">
        <v>145</v>
      </c>
      <c r="O106" s="24" t="s">
        <v>411</v>
      </c>
      <c r="P106" s="24" t="s">
        <v>372</v>
      </c>
      <c r="Q106" s="27"/>
      <c r="R106" s="27"/>
      <c r="S106" s="28"/>
    </row>
    <row r="107" ht="42.75" spans="1:19">
      <c r="A107" s="21" t="s">
        <v>137</v>
      </c>
      <c r="B107" s="21" t="s">
        <v>101</v>
      </c>
      <c r="C107" s="21" t="s">
        <v>138</v>
      </c>
      <c r="D107" s="21" t="s">
        <v>139</v>
      </c>
      <c r="E107" s="21" t="s">
        <v>362</v>
      </c>
      <c r="F107" s="21">
        <v>8</v>
      </c>
      <c r="G107" s="21" t="s">
        <v>141</v>
      </c>
      <c r="H107" s="21">
        <v>31</v>
      </c>
      <c r="I107" s="21">
        <v>8</v>
      </c>
      <c r="J107" s="21" t="s">
        <v>30</v>
      </c>
      <c r="K107" s="105" t="s">
        <v>555</v>
      </c>
      <c r="L107" s="105" t="s">
        <v>766</v>
      </c>
      <c r="M107" s="90" t="s">
        <v>347</v>
      </c>
      <c r="N107" s="106" t="s">
        <v>145</v>
      </c>
      <c r="O107" s="24" t="s">
        <v>411</v>
      </c>
      <c r="P107" s="24" t="s">
        <v>372</v>
      </c>
      <c r="Q107" s="27"/>
      <c r="R107" s="27"/>
      <c r="S107" s="28"/>
    </row>
    <row r="108" ht="28.5" spans="1:19">
      <c r="A108" s="21" t="s">
        <v>137</v>
      </c>
      <c r="B108" s="21" t="s">
        <v>101</v>
      </c>
      <c r="C108" s="21" t="s">
        <v>138</v>
      </c>
      <c r="D108" s="21" t="s">
        <v>139</v>
      </c>
      <c r="E108" s="21" t="s">
        <v>362</v>
      </c>
      <c r="F108" s="21">
        <v>8</v>
      </c>
      <c r="G108" s="21" t="s">
        <v>141</v>
      </c>
      <c r="H108" s="21">
        <v>31</v>
      </c>
      <c r="I108" s="21">
        <v>8</v>
      </c>
      <c r="J108" s="21" t="s">
        <v>30</v>
      </c>
      <c r="K108" s="105" t="s">
        <v>767</v>
      </c>
      <c r="L108" s="22" t="s">
        <v>768</v>
      </c>
      <c r="M108" s="90" t="s">
        <v>347</v>
      </c>
      <c r="N108" s="106" t="s">
        <v>145</v>
      </c>
      <c r="O108" s="24" t="s">
        <v>411</v>
      </c>
      <c r="P108" s="24" t="s">
        <v>372</v>
      </c>
      <c r="Q108" s="27"/>
      <c r="R108" s="27"/>
      <c r="S108" s="28"/>
    </row>
    <row r="109" ht="42.75" spans="1:19">
      <c r="A109" s="21" t="s">
        <v>137</v>
      </c>
      <c r="B109" s="21" t="s">
        <v>101</v>
      </c>
      <c r="C109" s="21" t="s">
        <v>138</v>
      </c>
      <c r="D109" s="21" t="s">
        <v>139</v>
      </c>
      <c r="E109" s="21" t="s">
        <v>362</v>
      </c>
      <c r="F109" s="21">
        <v>8</v>
      </c>
      <c r="G109" s="21" t="s">
        <v>141</v>
      </c>
      <c r="H109" s="21">
        <v>31</v>
      </c>
      <c r="I109" s="21">
        <v>8</v>
      </c>
      <c r="J109" s="21" t="s">
        <v>30</v>
      </c>
      <c r="K109" s="105" t="s">
        <v>769</v>
      </c>
      <c r="L109" s="22" t="s">
        <v>770</v>
      </c>
      <c r="M109" s="90" t="s">
        <v>347</v>
      </c>
      <c r="N109" s="106" t="s">
        <v>145</v>
      </c>
      <c r="O109" s="24" t="s">
        <v>411</v>
      </c>
      <c r="P109" s="24" t="s">
        <v>372</v>
      </c>
      <c r="Q109" s="27"/>
      <c r="R109" s="27"/>
      <c r="S109" s="28"/>
    </row>
    <row r="110" ht="42.75" spans="1:19">
      <c r="A110" s="21" t="s">
        <v>137</v>
      </c>
      <c r="B110" s="21" t="s">
        <v>101</v>
      </c>
      <c r="C110" s="21" t="s">
        <v>138</v>
      </c>
      <c r="D110" s="21" t="s">
        <v>139</v>
      </c>
      <c r="E110" s="21" t="s">
        <v>362</v>
      </c>
      <c r="F110" s="21">
        <v>8</v>
      </c>
      <c r="G110" s="21" t="s">
        <v>141</v>
      </c>
      <c r="H110" s="21">
        <v>31</v>
      </c>
      <c r="I110" s="21">
        <v>8</v>
      </c>
      <c r="J110" s="21" t="s">
        <v>30</v>
      </c>
      <c r="K110" s="105" t="s">
        <v>771</v>
      </c>
      <c r="L110" s="22" t="s">
        <v>772</v>
      </c>
      <c r="M110" s="90" t="s">
        <v>347</v>
      </c>
      <c r="N110" s="106" t="s">
        <v>145</v>
      </c>
      <c r="O110" s="24" t="s">
        <v>411</v>
      </c>
      <c r="P110" s="24" t="s">
        <v>372</v>
      </c>
      <c r="Q110" s="27"/>
      <c r="R110" s="27"/>
      <c r="S110" s="28"/>
    </row>
    <row r="111" ht="40.5" spans="1:19">
      <c r="A111" s="21" t="s">
        <v>137</v>
      </c>
      <c r="B111" s="21" t="s">
        <v>101</v>
      </c>
      <c r="C111" s="21" t="s">
        <v>138</v>
      </c>
      <c r="D111" s="21" t="s">
        <v>139</v>
      </c>
      <c r="E111" s="21" t="s">
        <v>362</v>
      </c>
      <c r="F111" s="21">
        <v>8</v>
      </c>
      <c r="G111" s="21" t="s">
        <v>141</v>
      </c>
      <c r="H111" s="21">
        <v>31</v>
      </c>
      <c r="I111" s="21">
        <v>8</v>
      </c>
      <c r="J111" s="21" t="s">
        <v>30</v>
      </c>
      <c r="K111" s="105" t="s">
        <v>773</v>
      </c>
      <c r="L111" s="22" t="s">
        <v>774</v>
      </c>
      <c r="M111" s="90" t="s">
        <v>347</v>
      </c>
      <c r="N111" s="106" t="s">
        <v>145</v>
      </c>
      <c r="O111" s="24" t="s">
        <v>411</v>
      </c>
      <c r="P111" s="24" t="s">
        <v>372</v>
      </c>
      <c r="Q111" s="27"/>
      <c r="R111" s="27"/>
      <c r="S111" s="28"/>
    </row>
    <row r="112" ht="40.5" spans="1:19">
      <c r="A112" s="21" t="s">
        <v>137</v>
      </c>
      <c r="B112" s="21" t="s">
        <v>101</v>
      </c>
      <c r="C112" s="21" t="s">
        <v>138</v>
      </c>
      <c r="D112" s="21" t="s">
        <v>139</v>
      </c>
      <c r="E112" s="21" t="s">
        <v>362</v>
      </c>
      <c r="F112" s="21">
        <v>8</v>
      </c>
      <c r="G112" s="21" t="s">
        <v>141</v>
      </c>
      <c r="H112" s="21">
        <v>31</v>
      </c>
      <c r="I112" s="21">
        <v>8</v>
      </c>
      <c r="J112" s="21" t="s">
        <v>30</v>
      </c>
      <c r="K112" s="22" t="s">
        <v>775</v>
      </c>
      <c r="L112" s="22" t="s">
        <v>776</v>
      </c>
      <c r="M112" s="90" t="s">
        <v>347</v>
      </c>
      <c r="N112" s="106" t="s">
        <v>145</v>
      </c>
      <c r="O112" s="24" t="s">
        <v>411</v>
      </c>
      <c r="P112" s="24" t="s">
        <v>372</v>
      </c>
      <c r="Q112" s="27"/>
      <c r="R112" s="27"/>
      <c r="S112" s="28"/>
    </row>
    <row r="113" ht="27" spans="1:19">
      <c r="A113" s="30" t="s">
        <v>420</v>
      </c>
      <c r="B113" s="30" t="s">
        <v>101</v>
      </c>
      <c r="C113" s="30" t="s">
        <v>218</v>
      </c>
      <c r="D113" s="30" t="s">
        <v>238</v>
      </c>
      <c r="E113" s="30" t="s">
        <v>239</v>
      </c>
      <c r="F113" s="30">
        <v>1</v>
      </c>
      <c r="G113" s="30">
        <v>2024.1</v>
      </c>
      <c r="H113" s="30">
        <v>25</v>
      </c>
      <c r="I113" s="30">
        <v>1</v>
      </c>
      <c r="J113" s="30" t="s">
        <v>30</v>
      </c>
      <c r="K113" s="22" t="s">
        <v>421</v>
      </c>
      <c r="L113" s="22" t="s">
        <v>422</v>
      </c>
      <c r="M113" s="87" t="s">
        <v>423</v>
      </c>
      <c r="N113" s="22" t="s">
        <v>149</v>
      </c>
      <c r="O113" s="31" t="s">
        <v>411</v>
      </c>
      <c r="P113" s="31" t="s">
        <v>372</v>
      </c>
      <c r="Q113" s="27"/>
      <c r="R113" s="27"/>
      <c r="S113" s="28"/>
    </row>
    <row r="114" ht="27" spans="1:19">
      <c r="A114" s="30" t="s">
        <v>420</v>
      </c>
      <c r="B114" s="30" t="s">
        <v>101</v>
      </c>
      <c r="C114" s="30" t="s">
        <v>218</v>
      </c>
      <c r="D114" s="30" t="s">
        <v>238</v>
      </c>
      <c r="E114" s="30" t="s">
        <v>239</v>
      </c>
      <c r="F114" s="30">
        <v>1</v>
      </c>
      <c r="G114" s="30">
        <v>2024.1</v>
      </c>
      <c r="H114" s="30">
        <v>25</v>
      </c>
      <c r="I114" s="30">
        <v>1</v>
      </c>
      <c r="J114" s="30" t="s">
        <v>30</v>
      </c>
      <c r="K114" s="22" t="s">
        <v>424</v>
      </c>
      <c r="L114" s="22" t="s">
        <v>425</v>
      </c>
      <c r="M114" s="87" t="s">
        <v>423</v>
      </c>
      <c r="N114" s="22" t="s">
        <v>149</v>
      </c>
      <c r="O114" s="31" t="s">
        <v>411</v>
      </c>
      <c r="P114" s="31" t="s">
        <v>372</v>
      </c>
      <c r="Q114" s="27"/>
      <c r="R114" s="27"/>
      <c r="S114" s="28"/>
    </row>
    <row r="115" ht="27" spans="1:19">
      <c r="A115" s="30" t="s">
        <v>420</v>
      </c>
      <c r="B115" s="30" t="s">
        <v>101</v>
      </c>
      <c r="C115" s="30" t="s">
        <v>218</v>
      </c>
      <c r="D115" s="30" t="s">
        <v>238</v>
      </c>
      <c r="E115" s="30" t="s">
        <v>239</v>
      </c>
      <c r="F115" s="30">
        <v>1</v>
      </c>
      <c r="G115" s="30">
        <v>2024.1</v>
      </c>
      <c r="H115" s="30">
        <v>25</v>
      </c>
      <c r="I115" s="30">
        <v>1</v>
      </c>
      <c r="J115" s="30" t="s">
        <v>30</v>
      </c>
      <c r="K115" s="22" t="s">
        <v>426</v>
      </c>
      <c r="L115" s="22" t="s">
        <v>427</v>
      </c>
      <c r="M115" s="87" t="s">
        <v>428</v>
      </c>
      <c r="N115" s="22" t="s">
        <v>149</v>
      </c>
      <c r="O115" s="31" t="s">
        <v>411</v>
      </c>
      <c r="P115" s="31" t="s">
        <v>372</v>
      </c>
      <c r="Q115" s="27"/>
      <c r="R115" s="27"/>
      <c r="S115" s="28"/>
    </row>
    <row r="116" ht="27" spans="1:19">
      <c r="A116" s="30" t="s">
        <v>420</v>
      </c>
      <c r="B116" s="30" t="s">
        <v>101</v>
      </c>
      <c r="C116" s="30" t="s">
        <v>218</v>
      </c>
      <c r="D116" s="30" t="s">
        <v>238</v>
      </c>
      <c r="E116" s="30" t="s">
        <v>239</v>
      </c>
      <c r="F116" s="30">
        <v>1</v>
      </c>
      <c r="G116" s="30">
        <v>2024.1</v>
      </c>
      <c r="H116" s="30">
        <v>25</v>
      </c>
      <c r="I116" s="30">
        <v>1</v>
      </c>
      <c r="J116" s="30" t="s">
        <v>30</v>
      </c>
      <c r="K116" s="22" t="s">
        <v>777</v>
      </c>
      <c r="L116" s="22" t="s">
        <v>778</v>
      </c>
      <c r="M116" s="87" t="s">
        <v>144</v>
      </c>
      <c r="N116" s="22" t="s">
        <v>145</v>
      </c>
      <c r="O116" s="31" t="s">
        <v>411</v>
      </c>
      <c r="P116" s="31" t="s">
        <v>372</v>
      </c>
      <c r="Q116" s="27"/>
      <c r="R116" s="27"/>
      <c r="S116" s="28"/>
    </row>
    <row r="117" ht="27" spans="1:19">
      <c r="A117" s="30" t="s">
        <v>420</v>
      </c>
      <c r="B117" s="30" t="s">
        <v>101</v>
      </c>
      <c r="C117" s="30" t="s">
        <v>218</v>
      </c>
      <c r="D117" s="30" t="s">
        <v>238</v>
      </c>
      <c r="E117" s="30" t="s">
        <v>239</v>
      </c>
      <c r="F117" s="30">
        <v>1</v>
      </c>
      <c r="G117" s="30">
        <v>2024.1</v>
      </c>
      <c r="H117" s="30">
        <v>25</v>
      </c>
      <c r="I117" s="30">
        <v>1</v>
      </c>
      <c r="J117" s="30" t="s">
        <v>30</v>
      </c>
      <c r="K117" s="22" t="s">
        <v>779</v>
      </c>
      <c r="L117" s="22" t="s">
        <v>780</v>
      </c>
      <c r="M117" s="87" t="s">
        <v>144</v>
      </c>
      <c r="N117" s="22" t="s">
        <v>145</v>
      </c>
      <c r="O117" s="31" t="s">
        <v>411</v>
      </c>
      <c r="P117" s="31" t="s">
        <v>372</v>
      </c>
      <c r="Q117" s="27"/>
      <c r="R117" s="27"/>
      <c r="S117" s="28"/>
    </row>
    <row r="118" ht="28.5" spans="1:19">
      <c r="A118" s="30" t="s">
        <v>420</v>
      </c>
      <c r="B118" s="30" t="s">
        <v>101</v>
      </c>
      <c r="C118" s="30" t="s">
        <v>218</v>
      </c>
      <c r="D118" s="30" t="s">
        <v>238</v>
      </c>
      <c r="E118" s="30" t="s">
        <v>239</v>
      </c>
      <c r="F118" s="30">
        <v>1</v>
      </c>
      <c r="G118" s="30">
        <v>2024.1</v>
      </c>
      <c r="H118" s="30">
        <v>25</v>
      </c>
      <c r="I118" s="30">
        <v>1</v>
      </c>
      <c r="J118" s="30" t="s">
        <v>30</v>
      </c>
      <c r="K118" s="107" t="s">
        <v>429</v>
      </c>
      <c r="L118" s="107" t="s">
        <v>430</v>
      </c>
      <c r="M118" s="87" t="s">
        <v>423</v>
      </c>
      <c r="N118" s="22" t="s">
        <v>149</v>
      </c>
      <c r="O118" s="31" t="s">
        <v>411</v>
      </c>
      <c r="P118" s="31" t="s">
        <v>372</v>
      </c>
      <c r="Q118" s="27"/>
      <c r="R118" s="27"/>
      <c r="S118" s="28"/>
    </row>
    <row r="119" ht="28.5" spans="1:19">
      <c r="A119" s="30" t="s">
        <v>420</v>
      </c>
      <c r="B119" s="30" t="s">
        <v>101</v>
      </c>
      <c r="C119" s="30" t="s">
        <v>218</v>
      </c>
      <c r="D119" s="30" t="s">
        <v>238</v>
      </c>
      <c r="E119" s="30" t="s">
        <v>239</v>
      </c>
      <c r="F119" s="30">
        <v>1</v>
      </c>
      <c r="G119" s="30">
        <v>2024.1</v>
      </c>
      <c r="H119" s="30">
        <v>25</v>
      </c>
      <c r="I119" s="30">
        <v>1</v>
      </c>
      <c r="J119" s="30" t="s">
        <v>30</v>
      </c>
      <c r="K119" s="107" t="s">
        <v>431</v>
      </c>
      <c r="L119" s="107" t="s">
        <v>432</v>
      </c>
      <c r="M119" s="87" t="s">
        <v>423</v>
      </c>
      <c r="N119" s="22" t="s">
        <v>149</v>
      </c>
      <c r="O119" s="31" t="s">
        <v>411</v>
      </c>
      <c r="P119" s="31" t="s">
        <v>372</v>
      </c>
      <c r="Q119" s="27"/>
      <c r="R119" s="27"/>
      <c r="S119" s="28"/>
    </row>
    <row r="120" ht="27" spans="1:19">
      <c r="A120" s="30" t="s">
        <v>420</v>
      </c>
      <c r="B120" s="30" t="s">
        <v>101</v>
      </c>
      <c r="C120" s="30" t="s">
        <v>218</v>
      </c>
      <c r="D120" s="30" t="s">
        <v>238</v>
      </c>
      <c r="E120" s="30" t="s">
        <v>239</v>
      </c>
      <c r="F120" s="30">
        <v>1</v>
      </c>
      <c r="G120" s="30">
        <v>2024.1</v>
      </c>
      <c r="H120" s="30">
        <v>25</v>
      </c>
      <c r="I120" s="30">
        <v>1</v>
      </c>
      <c r="J120" s="30" t="s">
        <v>30</v>
      </c>
      <c r="K120" s="107" t="s">
        <v>433</v>
      </c>
      <c r="L120" s="107" t="s">
        <v>434</v>
      </c>
      <c r="M120" s="87" t="s">
        <v>423</v>
      </c>
      <c r="N120" s="22" t="s">
        <v>149</v>
      </c>
      <c r="O120" s="31" t="s">
        <v>411</v>
      </c>
      <c r="P120" s="31" t="s">
        <v>372</v>
      </c>
      <c r="Q120" s="27"/>
      <c r="R120" s="27"/>
      <c r="S120" s="28"/>
    </row>
    <row r="121" ht="28.5" spans="1:19">
      <c r="A121" s="30" t="s">
        <v>420</v>
      </c>
      <c r="B121" s="30" t="s">
        <v>101</v>
      </c>
      <c r="C121" s="30" t="s">
        <v>218</v>
      </c>
      <c r="D121" s="30" t="s">
        <v>238</v>
      </c>
      <c r="E121" s="30" t="s">
        <v>239</v>
      </c>
      <c r="F121" s="30">
        <v>1</v>
      </c>
      <c r="G121" s="30">
        <v>2024.1</v>
      </c>
      <c r="H121" s="30">
        <v>25</v>
      </c>
      <c r="I121" s="30">
        <v>1</v>
      </c>
      <c r="J121" s="30" t="s">
        <v>30</v>
      </c>
      <c r="K121" s="107" t="s">
        <v>781</v>
      </c>
      <c r="L121" s="107" t="s">
        <v>782</v>
      </c>
      <c r="M121" s="87" t="s">
        <v>144</v>
      </c>
      <c r="N121" s="22" t="s">
        <v>145</v>
      </c>
      <c r="O121" s="31" t="s">
        <v>411</v>
      </c>
      <c r="P121" s="31" t="s">
        <v>372</v>
      </c>
      <c r="Q121" s="27"/>
      <c r="R121" s="27"/>
      <c r="S121" s="28"/>
    </row>
    <row r="122" spans="1:19">
      <c r="A122" s="30" t="s">
        <v>420</v>
      </c>
      <c r="B122" s="28" t="s">
        <v>25</v>
      </c>
      <c r="C122" s="28" t="s">
        <v>705</v>
      </c>
      <c r="D122" s="28" t="s">
        <v>783</v>
      </c>
      <c r="E122" s="28" t="s">
        <v>784</v>
      </c>
      <c r="F122" s="28">
        <v>1</v>
      </c>
      <c r="G122" s="28">
        <v>2023.8</v>
      </c>
      <c r="H122" s="28">
        <v>30</v>
      </c>
      <c r="I122" s="28">
        <v>1</v>
      </c>
      <c r="J122" s="28" t="s">
        <v>170</v>
      </c>
      <c r="K122" s="22" t="s">
        <v>785</v>
      </c>
      <c r="L122" s="22" t="s">
        <v>786</v>
      </c>
      <c r="M122" s="87" t="s">
        <v>144</v>
      </c>
      <c r="N122" s="22" t="s">
        <v>145</v>
      </c>
      <c r="O122" s="31" t="s">
        <v>411</v>
      </c>
      <c r="P122" s="31" t="s">
        <v>372</v>
      </c>
      <c r="Q122" s="27"/>
      <c r="R122" s="27"/>
      <c r="S122" s="28"/>
    </row>
    <row r="123" ht="27" spans="1:19">
      <c r="A123" s="30" t="s">
        <v>265</v>
      </c>
      <c r="B123" s="30" t="s">
        <v>101</v>
      </c>
      <c r="C123" s="30" t="s">
        <v>266</v>
      </c>
      <c r="D123" s="30" t="s">
        <v>267</v>
      </c>
      <c r="E123" s="30" t="s">
        <v>268</v>
      </c>
      <c r="F123" s="30">
        <v>2</v>
      </c>
      <c r="G123" s="30">
        <v>2024.7</v>
      </c>
      <c r="H123" s="30">
        <v>30</v>
      </c>
      <c r="I123" s="30">
        <v>2</v>
      </c>
      <c r="J123" s="30" t="s">
        <v>52</v>
      </c>
      <c r="K123" s="22" t="s">
        <v>787</v>
      </c>
      <c r="L123" s="22" t="s">
        <v>788</v>
      </c>
      <c r="M123" s="87" t="s">
        <v>144</v>
      </c>
      <c r="N123" s="22" t="s">
        <v>145</v>
      </c>
      <c r="O123" s="31" t="s">
        <v>484</v>
      </c>
      <c r="P123" s="31" t="s">
        <v>372</v>
      </c>
      <c r="Q123" s="27"/>
      <c r="R123" s="27"/>
      <c r="S123" s="28"/>
    </row>
    <row r="124" ht="40.5" spans="1:19">
      <c r="A124" s="30" t="s">
        <v>265</v>
      </c>
      <c r="B124" s="30" t="s">
        <v>101</v>
      </c>
      <c r="C124" s="30" t="s">
        <v>266</v>
      </c>
      <c r="D124" s="30" t="s">
        <v>267</v>
      </c>
      <c r="E124" s="30" t="s">
        <v>268</v>
      </c>
      <c r="F124" s="30">
        <v>2</v>
      </c>
      <c r="G124" s="30">
        <v>2024.7</v>
      </c>
      <c r="H124" s="30">
        <v>30</v>
      </c>
      <c r="I124" s="30">
        <v>2</v>
      </c>
      <c r="J124" s="30" t="s">
        <v>52</v>
      </c>
      <c r="K124" s="22" t="s">
        <v>789</v>
      </c>
      <c r="L124" s="22" t="s">
        <v>790</v>
      </c>
      <c r="M124" s="87" t="s">
        <v>144</v>
      </c>
      <c r="N124" s="22" t="s">
        <v>145</v>
      </c>
      <c r="O124" s="31" t="s">
        <v>484</v>
      </c>
      <c r="P124" s="31" t="s">
        <v>372</v>
      </c>
      <c r="Q124" s="27"/>
      <c r="R124" s="27"/>
      <c r="S124" s="28"/>
    </row>
    <row r="125" ht="40.5" spans="1:19">
      <c r="A125" s="94" t="s">
        <v>287</v>
      </c>
      <c r="B125" s="34" t="s">
        <v>101</v>
      </c>
      <c r="C125" s="34" t="s">
        <v>435</v>
      </c>
      <c r="D125" s="34" t="s">
        <v>436</v>
      </c>
      <c r="E125" s="34" t="s">
        <v>389</v>
      </c>
      <c r="F125" s="34">
        <v>11</v>
      </c>
      <c r="G125" s="34">
        <v>2024.11</v>
      </c>
      <c r="H125" s="34">
        <v>22</v>
      </c>
      <c r="I125" s="34">
        <v>11</v>
      </c>
      <c r="J125" s="34" t="s">
        <v>170</v>
      </c>
      <c r="K125" s="22" t="s">
        <v>437</v>
      </c>
      <c r="L125" s="22" t="s">
        <v>438</v>
      </c>
      <c r="M125" s="28" t="s">
        <v>423</v>
      </c>
      <c r="N125" s="28" t="s">
        <v>149</v>
      </c>
      <c r="O125" s="47" t="s">
        <v>411</v>
      </c>
      <c r="P125" s="34" t="s">
        <v>372</v>
      </c>
      <c r="Q125" s="27"/>
      <c r="R125" s="27"/>
      <c r="S125" s="28"/>
    </row>
    <row r="126" ht="27" spans="1:19">
      <c r="A126" s="94" t="s">
        <v>287</v>
      </c>
      <c r="B126" s="34" t="s">
        <v>101</v>
      </c>
      <c r="C126" s="34" t="s">
        <v>435</v>
      </c>
      <c r="D126" s="34" t="s">
        <v>436</v>
      </c>
      <c r="E126" s="34" t="s">
        <v>389</v>
      </c>
      <c r="F126" s="34">
        <v>11</v>
      </c>
      <c r="G126" s="34">
        <v>2024.11</v>
      </c>
      <c r="H126" s="34">
        <v>22</v>
      </c>
      <c r="I126" s="34">
        <v>11</v>
      </c>
      <c r="J126" s="34" t="s">
        <v>170</v>
      </c>
      <c r="K126" s="22" t="s">
        <v>791</v>
      </c>
      <c r="L126" s="22" t="s">
        <v>792</v>
      </c>
      <c r="M126" s="28" t="s">
        <v>144</v>
      </c>
      <c r="N126" s="28" t="s">
        <v>145</v>
      </c>
      <c r="O126" s="47" t="s">
        <v>411</v>
      </c>
      <c r="P126" s="34" t="s">
        <v>372</v>
      </c>
      <c r="Q126" s="27"/>
      <c r="R126" s="27"/>
      <c r="S126" s="28"/>
    </row>
    <row r="127" ht="27" spans="1:19">
      <c r="A127" s="94" t="s">
        <v>287</v>
      </c>
      <c r="B127" s="34" t="s">
        <v>101</v>
      </c>
      <c r="C127" s="34" t="s">
        <v>435</v>
      </c>
      <c r="D127" s="34" t="s">
        <v>436</v>
      </c>
      <c r="E127" s="34" t="s">
        <v>389</v>
      </c>
      <c r="F127" s="34">
        <v>11</v>
      </c>
      <c r="G127" s="34">
        <v>2024.11</v>
      </c>
      <c r="H127" s="34">
        <v>22</v>
      </c>
      <c r="I127" s="34">
        <v>11</v>
      </c>
      <c r="J127" s="34" t="s">
        <v>170</v>
      </c>
      <c r="K127" s="22" t="s">
        <v>793</v>
      </c>
      <c r="L127" s="22" t="s">
        <v>794</v>
      </c>
      <c r="M127" s="28" t="s">
        <v>144</v>
      </c>
      <c r="N127" s="28" t="s">
        <v>145</v>
      </c>
      <c r="O127" s="47" t="s">
        <v>411</v>
      </c>
      <c r="P127" s="34" t="s">
        <v>372</v>
      </c>
      <c r="Q127" s="27"/>
      <c r="R127" s="27"/>
      <c r="S127" s="28"/>
    </row>
    <row r="128" ht="27" spans="1:19">
      <c r="A128" s="94" t="s">
        <v>287</v>
      </c>
      <c r="B128" s="34" t="s">
        <v>101</v>
      </c>
      <c r="C128" s="34" t="s">
        <v>435</v>
      </c>
      <c r="D128" s="34" t="s">
        <v>436</v>
      </c>
      <c r="E128" s="34" t="s">
        <v>389</v>
      </c>
      <c r="F128" s="34">
        <v>11</v>
      </c>
      <c r="G128" s="34">
        <v>2024.11</v>
      </c>
      <c r="H128" s="34">
        <v>22</v>
      </c>
      <c r="I128" s="34">
        <v>11</v>
      </c>
      <c r="J128" s="34" t="s">
        <v>170</v>
      </c>
      <c r="K128" s="22" t="s">
        <v>795</v>
      </c>
      <c r="L128" s="22" t="s">
        <v>796</v>
      </c>
      <c r="M128" s="28" t="s">
        <v>144</v>
      </c>
      <c r="N128" s="28" t="s">
        <v>145</v>
      </c>
      <c r="O128" s="47" t="s">
        <v>411</v>
      </c>
      <c r="P128" s="34" t="s">
        <v>372</v>
      </c>
      <c r="Q128" s="27"/>
      <c r="R128" s="27"/>
      <c r="S128" s="28"/>
    </row>
    <row r="129" spans="1:19">
      <c r="A129" s="94" t="s">
        <v>287</v>
      </c>
      <c r="B129" s="30" t="s">
        <v>25</v>
      </c>
      <c r="C129" s="30" t="s">
        <v>570</v>
      </c>
      <c r="D129" s="30" t="s">
        <v>571</v>
      </c>
      <c r="E129" s="30" t="s">
        <v>572</v>
      </c>
      <c r="F129" s="30">
        <v>3</v>
      </c>
      <c r="G129" s="30">
        <v>2025.3</v>
      </c>
      <c r="H129" s="30">
        <v>17</v>
      </c>
      <c r="I129" s="30">
        <v>3</v>
      </c>
      <c r="J129" s="34" t="s">
        <v>170</v>
      </c>
      <c r="K129" s="22" t="s">
        <v>797</v>
      </c>
      <c r="L129" s="22" t="s">
        <v>798</v>
      </c>
      <c r="M129" s="28" t="s">
        <v>144</v>
      </c>
      <c r="N129" s="28" t="s">
        <v>145</v>
      </c>
      <c r="O129" s="47" t="s">
        <v>411</v>
      </c>
      <c r="P129" s="34" t="s">
        <v>372</v>
      </c>
      <c r="Q129" s="27"/>
      <c r="R129" s="27"/>
      <c r="S129" s="28"/>
    </row>
    <row r="130" ht="27" spans="1:19">
      <c r="A130" s="94" t="s">
        <v>287</v>
      </c>
      <c r="B130" s="30" t="s">
        <v>25</v>
      </c>
      <c r="C130" s="30" t="s">
        <v>489</v>
      </c>
      <c r="D130" s="30" t="s">
        <v>490</v>
      </c>
      <c r="E130" s="30" t="s">
        <v>491</v>
      </c>
      <c r="F130" s="30">
        <v>3</v>
      </c>
      <c r="G130" s="30">
        <v>2024.7</v>
      </c>
      <c r="H130" s="30">
        <v>20</v>
      </c>
      <c r="I130" s="30">
        <v>3</v>
      </c>
      <c r="J130" s="34" t="s">
        <v>170</v>
      </c>
      <c r="K130" s="22" t="s">
        <v>799</v>
      </c>
      <c r="L130" s="22" t="s">
        <v>800</v>
      </c>
      <c r="M130" s="28" t="s">
        <v>144</v>
      </c>
      <c r="N130" s="28" t="s">
        <v>145</v>
      </c>
      <c r="O130" s="47" t="s">
        <v>411</v>
      </c>
      <c r="P130" s="34" t="s">
        <v>372</v>
      </c>
      <c r="Q130" s="27"/>
      <c r="R130" s="27"/>
      <c r="S130" s="28"/>
    </row>
    <row r="131" ht="27" spans="1:19">
      <c r="A131" s="94" t="s">
        <v>287</v>
      </c>
      <c r="B131" s="30" t="s">
        <v>25</v>
      </c>
      <c r="C131" s="30" t="s">
        <v>489</v>
      </c>
      <c r="D131" s="30" t="s">
        <v>490</v>
      </c>
      <c r="E131" s="30" t="s">
        <v>491</v>
      </c>
      <c r="F131" s="30">
        <v>3</v>
      </c>
      <c r="G131" s="30">
        <v>2024.7</v>
      </c>
      <c r="H131" s="30">
        <v>20</v>
      </c>
      <c r="I131" s="30">
        <v>3</v>
      </c>
      <c r="J131" s="34" t="s">
        <v>170</v>
      </c>
      <c r="K131" s="22" t="s">
        <v>801</v>
      </c>
      <c r="L131" s="22" t="s">
        <v>802</v>
      </c>
      <c r="M131" s="28" t="s">
        <v>144</v>
      </c>
      <c r="N131" s="28" t="s">
        <v>145</v>
      </c>
      <c r="O131" s="47" t="s">
        <v>411</v>
      </c>
      <c r="P131" s="34" t="s">
        <v>372</v>
      </c>
      <c r="Q131" s="27"/>
      <c r="R131" s="27"/>
      <c r="S131" s="28"/>
    </row>
    <row r="132" ht="27" spans="1:19">
      <c r="A132" s="94" t="s">
        <v>287</v>
      </c>
      <c r="B132" s="30" t="s">
        <v>25</v>
      </c>
      <c r="C132" s="30" t="s">
        <v>489</v>
      </c>
      <c r="D132" s="30" t="s">
        <v>490</v>
      </c>
      <c r="E132" s="30" t="s">
        <v>491</v>
      </c>
      <c r="F132" s="30">
        <v>3</v>
      </c>
      <c r="G132" s="30">
        <v>2024.7</v>
      </c>
      <c r="H132" s="30">
        <v>20</v>
      </c>
      <c r="I132" s="30">
        <v>3</v>
      </c>
      <c r="J132" s="34" t="s">
        <v>170</v>
      </c>
      <c r="K132" s="22" t="s">
        <v>803</v>
      </c>
      <c r="L132" s="22" t="s">
        <v>804</v>
      </c>
      <c r="M132" s="28" t="s">
        <v>144</v>
      </c>
      <c r="N132" s="28" t="s">
        <v>145</v>
      </c>
      <c r="O132" s="47" t="s">
        <v>411</v>
      </c>
      <c r="P132" s="34" t="s">
        <v>372</v>
      </c>
      <c r="Q132" s="27"/>
      <c r="R132" s="27"/>
      <c r="S132" s="28"/>
    </row>
    <row r="133" ht="27" spans="1:19">
      <c r="A133" s="34" t="s">
        <v>439</v>
      </c>
      <c r="B133" s="34" t="s">
        <v>101</v>
      </c>
      <c r="C133" s="34" t="s">
        <v>440</v>
      </c>
      <c r="D133" s="34" t="s">
        <v>441</v>
      </c>
      <c r="E133" s="34" t="s">
        <v>442</v>
      </c>
      <c r="F133" s="34">
        <v>11</v>
      </c>
      <c r="G133" s="34">
        <v>2025.2</v>
      </c>
      <c r="H133" s="34">
        <v>22</v>
      </c>
      <c r="I133" s="34">
        <v>11</v>
      </c>
      <c r="J133" s="34" t="s">
        <v>443</v>
      </c>
      <c r="K133" s="22" t="s">
        <v>805</v>
      </c>
      <c r="L133" s="22" t="s">
        <v>806</v>
      </c>
      <c r="M133" s="28" t="s">
        <v>144</v>
      </c>
      <c r="N133" s="28" t="s">
        <v>145</v>
      </c>
      <c r="O133" s="34" t="s">
        <v>411</v>
      </c>
      <c r="P133" s="34" t="s">
        <v>372</v>
      </c>
      <c r="Q133" s="27"/>
      <c r="R133" s="27"/>
      <c r="S133" s="28"/>
    </row>
    <row r="134" ht="27" spans="1:19">
      <c r="A134" s="34" t="s">
        <v>439</v>
      </c>
      <c r="B134" s="34" t="s">
        <v>101</v>
      </c>
      <c r="C134" s="34" t="s">
        <v>440</v>
      </c>
      <c r="D134" s="34" t="s">
        <v>441</v>
      </c>
      <c r="E134" s="34" t="s">
        <v>442</v>
      </c>
      <c r="F134" s="34">
        <v>11</v>
      </c>
      <c r="G134" s="34">
        <v>2025.2</v>
      </c>
      <c r="H134" s="34">
        <v>22</v>
      </c>
      <c r="I134" s="34">
        <v>11</v>
      </c>
      <c r="J134" s="34" t="s">
        <v>443</v>
      </c>
      <c r="K134" s="22" t="s">
        <v>807</v>
      </c>
      <c r="L134" s="22" t="s">
        <v>808</v>
      </c>
      <c r="M134" s="28" t="s">
        <v>144</v>
      </c>
      <c r="N134" s="28" t="s">
        <v>145</v>
      </c>
      <c r="O134" s="34" t="s">
        <v>411</v>
      </c>
      <c r="P134" s="34" t="s">
        <v>372</v>
      </c>
      <c r="Q134" s="27"/>
      <c r="R134" s="27"/>
      <c r="S134" s="28"/>
    </row>
    <row r="135" ht="27" spans="1:19">
      <c r="A135" s="34" t="s">
        <v>439</v>
      </c>
      <c r="B135" s="34" t="s">
        <v>101</v>
      </c>
      <c r="C135" s="34" t="s">
        <v>440</v>
      </c>
      <c r="D135" s="34" t="s">
        <v>441</v>
      </c>
      <c r="E135" s="34" t="s">
        <v>442</v>
      </c>
      <c r="F135" s="34">
        <v>11</v>
      </c>
      <c r="G135" s="34">
        <v>2025.2</v>
      </c>
      <c r="H135" s="34">
        <v>22</v>
      </c>
      <c r="I135" s="34">
        <v>11</v>
      </c>
      <c r="J135" s="34" t="s">
        <v>443</v>
      </c>
      <c r="K135" s="22" t="s">
        <v>809</v>
      </c>
      <c r="L135" s="22" t="s">
        <v>810</v>
      </c>
      <c r="M135" s="28" t="s">
        <v>144</v>
      </c>
      <c r="N135" s="28" t="s">
        <v>145</v>
      </c>
      <c r="O135" s="34" t="s">
        <v>411</v>
      </c>
      <c r="P135" s="34" t="s">
        <v>372</v>
      </c>
      <c r="Q135" s="27"/>
      <c r="R135" s="27"/>
      <c r="S135" s="28"/>
    </row>
    <row r="136" ht="40.5" spans="1:19">
      <c r="A136" s="34" t="s">
        <v>439</v>
      </c>
      <c r="B136" s="34" t="s">
        <v>101</v>
      </c>
      <c r="C136" s="34" t="s">
        <v>440</v>
      </c>
      <c r="D136" s="34" t="s">
        <v>441</v>
      </c>
      <c r="E136" s="34" t="s">
        <v>442</v>
      </c>
      <c r="F136" s="34">
        <v>11</v>
      </c>
      <c r="G136" s="34">
        <v>2025.2</v>
      </c>
      <c r="H136" s="34">
        <v>22</v>
      </c>
      <c r="I136" s="34">
        <v>11</v>
      </c>
      <c r="J136" s="34" t="s">
        <v>443</v>
      </c>
      <c r="K136" s="22" t="s">
        <v>811</v>
      </c>
      <c r="L136" s="22" t="s">
        <v>812</v>
      </c>
      <c r="M136" s="28" t="s">
        <v>144</v>
      </c>
      <c r="N136" s="28" t="s">
        <v>145</v>
      </c>
      <c r="O136" s="34" t="s">
        <v>411</v>
      </c>
      <c r="P136" s="34" t="s">
        <v>372</v>
      </c>
      <c r="Q136" s="27"/>
      <c r="R136" s="27"/>
      <c r="S136" s="28"/>
    </row>
    <row r="137" ht="54" spans="1:19">
      <c r="A137" s="34" t="s">
        <v>439</v>
      </c>
      <c r="B137" s="34" t="s">
        <v>101</v>
      </c>
      <c r="C137" s="34" t="s">
        <v>440</v>
      </c>
      <c r="D137" s="34" t="s">
        <v>441</v>
      </c>
      <c r="E137" s="34" t="s">
        <v>442</v>
      </c>
      <c r="F137" s="34">
        <v>11</v>
      </c>
      <c r="G137" s="34">
        <v>2025.2</v>
      </c>
      <c r="H137" s="34">
        <v>22</v>
      </c>
      <c r="I137" s="34">
        <v>11</v>
      </c>
      <c r="J137" s="34" t="s">
        <v>443</v>
      </c>
      <c r="K137" s="22" t="s">
        <v>813</v>
      </c>
      <c r="L137" s="22" t="s">
        <v>814</v>
      </c>
      <c r="M137" s="28" t="s">
        <v>144</v>
      </c>
      <c r="N137" s="28" t="s">
        <v>145</v>
      </c>
      <c r="O137" s="34" t="s">
        <v>411</v>
      </c>
      <c r="P137" s="34" t="s">
        <v>372</v>
      </c>
      <c r="Q137" s="27"/>
      <c r="R137" s="27"/>
      <c r="S137" s="28"/>
    </row>
    <row r="138" ht="81" spans="1:19">
      <c r="A138" s="34" t="s">
        <v>439</v>
      </c>
      <c r="B138" s="34" t="s">
        <v>101</v>
      </c>
      <c r="C138" s="34" t="s">
        <v>440</v>
      </c>
      <c r="D138" s="34" t="s">
        <v>441</v>
      </c>
      <c r="E138" s="34" t="s">
        <v>442</v>
      </c>
      <c r="F138" s="34">
        <v>11</v>
      </c>
      <c r="G138" s="34">
        <v>2025.2</v>
      </c>
      <c r="H138" s="34">
        <v>22</v>
      </c>
      <c r="I138" s="34">
        <v>11</v>
      </c>
      <c r="J138" s="34" t="s">
        <v>443</v>
      </c>
      <c r="K138" s="22" t="s">
        <v>815</v>
      </c>
      <c r="L138" s="22" t="s">
        <v>816</v>
      </c>
      <c r="M138" s="28" t="s">
        <v>144</v>
      </c>
      <c r="N138" s="28" t="s">
        <v>145</v>
      </c>
      <c r="O138" s="34" t="s">
        <v>411</v>
      </c>
      <c r="P138" s="34" t="s">
        <v>372</v>
      </c>
      <c r="Q138" s="27"/>
      <c r="R138" s="27"/>
      <c r="S138" s="28"/>
    </row>
    <row r="139" ht="27" spans="1:19">
      <c r="A139" s="34" t="s">
        <v>439</v>
      </c>
      <c r="B139" s="34" t="s">
        <v>101</v>
      </c>
      <c r="C139" s="34" t="s">
        <v>440</v>
      </c>
      <c r="D139" s="34" t="s">
        <v>441</v>
      </c>
      <c r="E139" s="34" t="s">
        <v>442</v>
      </c>
      <c r="F139" s="34">
        <v>11</v>
      </c>
      <c r="G139" s="34">
        <v>2025.2</v>
      </c>
      <c r="H139" s="34">
        <v>22</v>
      </c>
      <c r="I139" s="34">
        <v>11</v>
      </c>
      <c r="J139" s="34" t="s">
        <v>443</v>
      </c>
      <c r="K139" s="22" t="s">
        <v>817</v>
      </c>
      <c r="L139" s="22" t="s">
        <v>818</v>
      </c>
      <c r="M139" s="28" t="s">
        <v>144</v>
      </c>
      <c r="N139" s="28" t="s">
        <v>145</v>
      </c>
      <c r="O139" s="34" t="s">
        <v>411</v>
      </c>
      <c r="P139" s="34" t="s">
        <v>372</v>
      </c>
      <c r="Q139" s="27"/>
      <c r="R139" s="27"/>
      <c r="S139" s="28"/>
    </row>
    <row r="140" ht="27" spans="1:19">
      <c r="A140" s="34" t="s">
        <v>439</v>
      </c>
      <c r="B140" s="34" t="s">
        <v>101</v>
      </c>
      <c r="C140" s="34" t="s">
        <v>440</v>
      </c>
      <c r="D140" s="34" t="s">
        <v>441</v>
      </c>
      <c r="E140" s="34" t="s">
        <v>442</v>
      </c>
      <c r="F140" s="34">
        <v>11</v>
      </c>
      <c r="G140" s="34">
        <v>2025.2</v>
      </c>
      <c r="H140" s="34">
        <v>22</v>
      </c>
      <c r="I140" s="34">
        <v>11</v>
      </c>
      <c r="J140" s="34" t="s">
        <v>443</v>
      </c>
      <c r="K140" s="22" t="s">
        <v>819</v>
      </c>
      <c r="L140" s="22" t="s">
        <v>820</v>
      </c>
      <c r="M140" s="28" t="s">
        <v>144</v>
      </c>
      <c r="N140" s="28" t="s">
        <v>145</v>
      </c>
      <c r="O140" s="34" t="s">
        <v>411</v>
      </c>
      <c r="P140" s="34" t="s">
        <v>372</v>
      </c>
      <c r="Q140" s="27"/>
      <c r="R140" s="27"/>
      <c r="S140" s="28"/>
    </row>
    <row r="141" ht="27" spans="1:19">
      <c r="A141" s="34" t="s">
        <v>439</v>
      </c>
      <c r="B141" s="34" t="s">
        <v>101</v>
      </c>
      <c r="C141" s="34" t="s">
        <v>440</v>
      </c>
      <c r="D141" s="34" t="s">
        <v>441</v>
      </c>
      <c r="E141" s="34" t="s">
        <v>442</v>
      </c>
      <c r="F141" s="34">
        <v>11</v>
      </c>
      <c r="G141" s="34">
        <v>2025.2</v>
      </c>
      <c r="H141" s="34">
        <v>22</v>
      </c>
      <c r="I141" s="34">
        <v>11</v>
      </c>
      <c r="J141" s="34" t="s">
        <v>443</v>
      </c>
      <c r="K141" s="22" t="s">
        <v>821</v>
      </c>
      <c r="L141" s="22" t="s">
        <v>822</v>
      </c>
      <c r="M141" s="28" t="s">
        <v>144</v>
      </c>
      <c r="N141" s="28" t="s">
        <v>145</v>
      </c>
      <c r="O141" s="34" t="s">
        <v>411</v>
      </c>
      <c r="P141" s="34" t="s">
        <v>372</v>
      </c>
      <c r="Q141" s="27"/>
      <c r="R141" s="27"/>
      <c r="S141" s="28"/>
    </row>
    <row r="142" ht="27" spans="1:19">
      <c r="A142" s="34" t="s">
        <v>439</v>
      </c>
      <c r="B142" s="34" t="s">
        <v>101</v>
      </c>
      <c r="C142" s="34" t="s">
        <v>440</v>
      </c>
      <c r="D142" s="34" t="s">
        <v>441</v>
      </c>
      <c r="E142" s="34" t="s">
        <v>442</v>
      </c>
      <c r="F142" s="34">
        <v>11</v>
      </c>
      <c r="G142" s="34">
        <v>2025.2</v>
      </c>
      <c r="H142" s="34">
        <v>22</v>
      </c>
      <c r="I142" s="34">
        <v>11</v>
      </c>
      <c r="J142" s="34" t="s">
        <v>443</v>
      </c>
      <c r="K142" s="22" t="s">
        <v>823</v>
      </c>
      <c r="L142" s="22" t="s">
        <v>824</v>
      </c>
      <c r="M142" s="28" t="s">
        <v>144</v>
      </c>
      <c r="N142" s="28" t="s">
        <v>145</v>
      </c>
      <c r="O142" s="34" t="s">
        <v>411</v>
      </c>
      <c r="P142" s="34" t="s">
        <v>372</v>
      </c>
      <c r="Q142" s="27"/>
      <c r="R142" s="27"/>
      <c r="S142" s="28"/>
    </row>
    <row r="143" ht="27" spans="1:19">
      <c r="A143" s="34" t="s">
        <v>439</v>
      </c>
      <c r="B143" s="34" t="s">
        <v>101</v>
      </c>
      <c r="C143" s="34" t="s">
        <v>440</v>
      </c>
      <c r="D143" s="34" t="s">
        <v>441</v>
      </c>
      <c r="E143" s="34" t="s">
        <v>442</v>
      </c>
      <c r="F143" s="34">
        <v>11</v>
      </c>
      <c r="G143" s="34">
        <v>2025.2</v>
      </c>
      <c r="H143" s="34">
        <v>22</v>
      </c>
      <c r="I143" s="34">
        <v>11</v>
      </c>
      <c r="J143" s="34" t="s">
        <v>443</v>
      </c>
      <c r="K143" s="22" t="s">
        <v>825</v>
      </c>
      <c r="L143" s="22" t="s">
        <v>826</v>
      </c>
      <c r="M143" s="28" t="s">
        <v>144</v>
      </c>
      <c r="N143" s="28" t="s">
        <v>145</v>
      </c>
      <c r="O143" s="34" t="s">
        <v>411</v>
      </c>
      <c r="P143" s="34" t="s">
        <v>372</v>
      </c>
      <c r="Q143" s="27"/>
      <c r="R143" s="27"/>
      <c r="S143" s="28"/>
    </row>
    <row r="144" ht="27" spans="1:19">
      <c r="A144" s="34" t="s">
        <v>439</v>
      </c>
      <c r="B144" s="34" t="s">
        <v>101</v>
      </c>
      <c r="C144" s="34" t="s">
        <v>440</v>
      </c>
      <c r="D144" s="34" t="s">
        <v>441</v>
      </c>
      <c r="E144" s="34" t="s">
        <v>442</v>
      </c>
      <c r="F144" s="34">
        <v>11</v>
      </c>
      <c r="G144" s="34">
        <v>2025.2</v>
      </c>
      <c r="H144" s="34">
        <v>22</v>
      </c>
      <c r="I144" s="34">
        <v>11</v>
      </c>
      <c r="J144" s="34" t="s">
        <v>443</v>
      </c>
      <c r="K144" s="22" t="s">
        <v>827</v>
      </c>
      <c r="L144" s="22" t="s">
        <v>828</v>
      </c>
      <c r="M144" s="28" t="s">
        <v>144</v>
      </c>
      <c r="N144" s="28" t="s">
        <v>145</v>
      </c>
      <c r="O144" s="34" t="s">
        <v>411</v>
      </c>
      <c r="P144" s="34" t="s">
        <v>372</v>
      </c>
      <c r="Q144" s="27"/>
      <c r="R144" s="27"/>
      <c r="S144" s="28"/>
    </row>
  </sheetData>
  <mergeCells count="9">
    <mergeCell ref="A1:S1"/>
    <mergeCell ref="B88:B89"/>
    <mergeCell ref="C88:C89"/>
    <mergeCell ref="D88:D89"/>
    <mergeCell ref="E88:E89"/>
    <mergeCell ref="F88:F89"/>
    <mergeCell ref="G88:G89"/>
    <mergeCell ref="H88:H89"/>
    <mergeCell ref="I88:I89"/>
  </mergeCells>
  <conditionalFormatting sqref="K79">
    <cfRule type="expression" dxfId="1" priority="7">
      <formula>OR($K79="延期",AND(#REF!="严重",$K79=""))</formula>
    </cfRule>
    <cfRule type="expression" dxfId="0" priority="8">
      <formula>$K79="已完成"</formula>
    </cfRule>
  </conditionalFormatting>
  <conditionalFormatting sqref="L79">
    <cfRule type="expression" dxfId="1" priority="5">
      <formula>OR($K79="延期",AND(#REF!="严重",$K79=""))</formula>
    </cfRule>
    <cfRule type="expression" dxfId="0" priority="6">
      <formula>$K79="已完成"</formula>
    </cfRule>
  </conditionalFormatting>
  <conditionalFormatting sqref="K80">
    <cfRule type="expression" dxfId="1" priority="3">
      <formula>OR($K80="延期",AND(#REF!="严重",$K80=""))</formula>
    </cfRule>
    <cfRule type="expression" dxfId="0" priority="4">
      <formula>$K80="已完成"</formula>
    </cfRule>
  </conditionalFormatting>
  <conditionalFormatting sqref="L80">
    <cfRule type="expression" dxfId="1" priority="1">
      <formula>OR($K80="延期",AND(#REF!="严重",$K80=""))</formula>
    </cfRule>
    <cfRule type="expression" dxfId="0" priority="2">
      <formula>$K80="已完成"</formula>
    </cfRule>
  </conditionalFormatting>
  <dataValidations count="2">
    <dataValidation type="list" allowBlank="1" showInputMessage="1" showErrorMessage="1" sqref="M49:M50">
      <formula1>"销售,机械（外发）,生产,电气,测试,采购（供应商）,客户"</formula1>
    </dataValidation>
    <dataValidation allowBlank="1" showInputMessage="1" showErrorMessage="1" sqref="N49:N50 K79:L80"/>
  </dataValidation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S100"/>
  <sheetViews>
    <sheetView workbookViewId="0">
      <pane xSplit="1" ySplit="2" topLeftCell="B3" activePane="bottomRight" state="frozen"/>
      <selection/>
      <selection pane="topRight"/>
      <selection pane="bottomLeft"/>
      <selection pane="bottomRight" activeCell="A1" sqref="A1:S1"/>
    </sheetView>
  </sheetViews>
  <sheetFormatPr defaultColWidth="11" defaultRowHeight="14.25"/>
  <cols>
    <col min="1" max="1" width="11" style="1"/>
    <col min="2" max="2" width="11" style="3"/>
    <col min="3" max="3" width="11" style="4"/>
    <col min="4" max="4" width="21.2166666666667" style="4" customWidth="1"/>
    <col min="5" max="5" width="14.1666666666667" style="3" customWidth="1"/>
    <col min="6" max="6" width="11" style="3"/>
    <col min="7" max="7" width="14.5" style="5"/>
    <col min="8" max="8" width="11.2083333333333" style="3"/>
    <col min="9" max="10" width="11" style="3"/>
    <col min="11" max="11" width="31.6416666666667" style="6" customWidth="1"/>
    <col min="12" max="12" width="40.6416666666667" style="6" customWidth="1"/>
    <col min="13" max="14" width="9.1" style="4"/>
    <col min="15" max="15" width="15" style="3" customWidth="1"/>
    <col min="16" max="16" width="10.6416666666667" style="3" customWidth="1"/>
    <col min="17" max="18" width="9.1" style="3"/>
    <col min="19" max="19" width="17.425" style="4" customWidth="1"/>
    <col min="20" max="16384" width="11" style="3"/>
  </cols>
  <sheetData>
    <row r="1" s="1" customFormat="1" ht="31.5" spans="1:19">
      <c r="A1" s="7" t="s">
        <v>350</v>
      </c>
      <c r="B1" s="8"/>
      <c r="C1" s="9"/>
      <c r="D1" s="9"/>
      <c r="E1" s="8"/>
      <c r="F1" s="8"/>
      <c r="G1" s="10"/>
      <c r="H1" s="8"/>
      <c r="I1" s="8"/>
      <c r="J1" s="8"/>
      <c r="K1" s="19"/>
      <c r="L1" s="19"/>
      <c r="M1" s="8"/>
      <c r="N1" s="8"/>
      <c r="O1" s="8"/>
      <c r="P1" s="8"/>
      <c r="Q1" s="8"/>
      <c r="R1" s="8"/>
      <c r="S1" s="26"/>
    </row>
    <row r="2" s="1" customFormat="1" ht="42.75" spans="1:19">
      <c r="A2" s="11" t="s">
        <v>1</v>
      </c>
      <c r="B2" s="12" t="s">
        <v>2</v>
      </c>
      <c r="C2" s="12" t="s">
        <v>3</v>
      </c>
      <c r="D2" s="13" t="s">
        <v>4</v>
      </c>
      <c r="E2" s="11" t="s">
        <v>5</v>
      </c>
      <c r="F2" s="12" t="s">
        <v>6</v>
      </c>
      <c r="G2" s="13" t="s">
        <v>11</v>
      </c>
      <c r="H2" s="12" t="s">
        <v>12</v>
      </c>
      <c r="I2" s="12" t="s">
        <v>13</v>
      </c>
      <c r="J2" s="12" t="s">
        <v>14</v>
      </c>
      <c r="K2" s="20" t="s">
        <v>15</v>
      </c>
      <c r="L2" s="20" t="s">
        <v>16</v>
      </c>
      <c r="M2" s="20" t="s">
        <v>17</v>
      </c>
      <c r="N2" s="20" t="s">
        <v>18</v>
      </c>
      <c r="O2" s="20" t="s">
        <v>19</v>
      </c>
      <c r="P2" s="20" t="s">
        <v>20</v>
      </c>
      <c r="Q2" s="20" t="s">
        <v>21</v>
      </c>
      <c r="R2" s="20" t="s">
        <v>22</v>
      </c>
      <c r="S2" s="20" t="s">
        <v>23</v>
      </c>
    </row>
    <row r="3" s="32" customFormat="1" ht="67.5" hidden="1" spans="1:19">
      <c r="A3" s="34" t="s">
        <v>24</v>
      </c>
      <c r="B3" s="29" t="s">
        <v>25</v>
      </c>
      <c r="C3" s="29" t="s">
        <v>26</v>
      </c>
      <c r="D3" s="35" t="s">
        <v>27</v>
      </c>
      <c r="E3" s="36" t="s">
        <v>446</v>
      </c>
      <c r="F3" s="29">
        <v>1</v>
      </c>
      <c r="G3" s="37" t="s">
        <v>29</v>
      </c>
      <c r="H3" s="29">
        <v>18</v>
      </c>
      <c r="I3" s="29">
        <v>1</v>
      </c>
      <c r="J3" s="47" t="s">
        <v>30</v>
      </c>
      <c r="K3" s="40" t="s">
        <v>31</v>
      </c>
      <c r="L3" s="56" t="s">
        <v>32</v>
      </c>
      <c r="M3" s="57" t="s">
        <v>33</v>
      </c>
      <c r="N3" s="57" t="s">
        <v>34</v>
      </c>
      <c r="O3" s="57" t="s">
        <v>35</v>
      </c>
      <c r="P3" s="57" t="s">
        <v>35</v>
      </c>
      <c r="Q3" s="57"/>
      <c r="R3" s="57"/>
      <c r="S3" s="57"/>
    </row>
    <row r="4" s="32" customFormat="1" ht="54" spans="1:19">
      <c r="A4" s="34" t="s">
        <v>24</v>
      </c>
      <c r="B4" s="29" t="s">
        <v>25</v>
      </c>
      <c r="C4" s="29" t="s">
        <v>36</v>
      </c>
      <c r="D4" s="35" t="s">
        <v>37</v>
      </c>
      <c r="E4" s="35" t="s">
        <v>38</v>
      </c>
      <c r="F4" s="29">
        <v>1</v>
      </c>
      <c r="G4" s="37" t="s">
        <v>39</v>
      </c>
      <c r="H4" s="29">
        <v>4</v>
      </c>
      <c r="I4" s="29">
        <v>1</v>
      </c>
      <c r="J4" s="47" t="s">
        <v>40</v>
      </c>
      <c r="K4" s="56" t="s">
        <v>41</v>
      </c>
      <c r="L4" s="56" t="s">
        <v>42</v>
      </c>
      <c r="M4" s="57" t="s">
        <v>43</v>
      </c>
      <c r="N4" s="57" t="s">
        <v>44</v>
      </c>
      <c r="O4" s="57" t="s">
        <v>45</v>
      </c>
      <c r="P4" s="57" t="s">
        <v>46</v>
      </c>
      <c r="Q4" s="57"/>
      <c r="R4" s="57"/>
      <c r="S4" s="57"/>
    </row>
    <row r="5" s="1" customFormat="1" ht="25.5" hidden="1" spans="1:19">
      <c r="A5" s="38" t="s">
        <v>47</v>
      </c>
      <c r="B5" s="39" t="s">
        <v>25</v>
      </c>
      <c r="C5" s="39" t="s">
        <v>48</v>
      </c>
      <c r="D5" s="29" t="s">
        <v>49</v>
      </c>
      <c r="E5" s="29" t="s">
        <v>50</v>
      </c>
      <c r="F5" s="29">
        <v>1</v>
      </c>
      <c r="G5" s="29" t="s">
        <v>51</v>
      </c>
      <c r="H5" s="29">
        <v>18</v>
      </c>
      <c r="I5" s="29">
        <v>1</v>
      </c>
      <c r="J5" s="47" t="s">
        <v>52</v>
      </c>
      <c r="K5" s="58" t="s">
        <v>53</v>
      </c>
      <c r="L5" s="58" t="s">
        <v>54</v>
      </c>
      <c r="M5" s="57" t="s">
        <v>55</v>
      </c>
      <c r="N5" s="57" t="s">
        <v>56</v>
      </c>
      <c r="O5" s="24" t="s">
        <v>57</v>
      </c>
      <c r="P5" s="59" t="s">
        <v>58</v>
      </c>
      <c r="Q5" s="57"/>
      <c r="R5" s="57"/>
      <c r="S5" s="57"/>
    </row>
    <row r="6" s="1" customFormat="1" ht="25.5" hidden="1" spans="1:19">
      <c r="A6" s="38" t="s">
        <v>47</v>
      </c>
      <c r="B6" s="39" t="s">
        <v>25</v>
      </c>
      <c r="C6" s="39" t="s">
        <v>48</v>
      </c>
      <c r="D6" s="29"/>
      <c r="E6" s="29"/>
      <c r="F6" s="29"/>
      <c r="G6" s="29"/>
      <c r="H6" s="29"/>
      <c r="I6" s="29"/>
      <c r="J6" s="47" t="s">
        <v>52</v>
      </c>
      <c r="K6" s="58" t="s">
        <v>59</v>
      </c>
      <c r="L6" s="58" t="s">
        <v>60</v>
      </c>
      <c r="M6" s="57" t="s">
        <v>61</v>
      </c>
      <c r="N6" s="57" t="s">
        <v>62</v>
      </c>
      <c r="O6" s="24" t="s">
        <v>57</v>
      </c>
      <c r="P6" s="59" t="s">
        <v>58</v>
      </c>
      <c r="Q6" s="57"/>
      <c r="R6" s="57"/>
      <c r="S6" s="57"/>
    </row>
    <row r="7" s="1" customFormat="1" ht="38.25" hidden="1" spans="1:19">
      <c r="A7" s="38" t="s">
        <v>47</v>
      </c>
      <c r="B7" s="39" t="s">
        <v>25</v>
      </c>
      <c r="C7" s="39" t="s">
        <v>48</v>
      </c>
      <c r="D7" s="29" t="s">
        <v>63</v>
      </c>
      <c r="E7" s="29" t="s">
        <v>580</v>
      </c>
      <c r="F7" s="29">
        <v>1</v>
      </c>
      <c r="G7" s="37" t="s">
        <v>39</v>
      </c>
      <c r="H7" s="29">
        <v>5</v>
      </c>
      <c r="I7" s="29">
        <v>1</v>
      </c>
      <c r="J7" s="47" t="s">
        <v>52</v>
      </c>
      <c r="K7" s="58" t="s">
        <v>65</v>
      </c>
      <c r="L7" s="58" t="s">
        <v>66</v>
      </c>
      <c r="M7" s="57" t="s">
        <v>55</v>
      </c>
      <c r="N7" s="57" t="s">
        <v>56</v>
      </c>
      <c r="O7" s="24" t="s">
        <v>57</v>
      </c>
      <c r="P7" s="59" t="s">
        <v>58</v>
      </c>
      <c r="Q7" s="74"/>
      <c r="R7" s="74"/>
      <c r="S7" s="29"/>
    </row>
    <row r="8" s="1" customFormat="1" ht="27" hidden="1" spans="1:19">
      <c r="A8" s="38" t="s">
        <v>47</v>
      </c>
      <c r="B8" s="39" t="s">
        <v>25</v>
      </c>
      <c r="C8" s="39" t="s">
        <v>48</v>
      </c>
      <c r="D8" s="29" t="s">
        <v>67</v>
      </c>
      <c r="E8" s="29" t="s">
        <v>68</v>
      </c>
      <c r="F8" s="29">
        <v>1</v>
      </c>
      <c r="G8" s="37" t="s">
        <v>69</v>
      </c>
      <c r="H8" s="29">
        <v>23</v>
      </c>
      <c r="I8" s="29">
        <v>1</v>
      </c>
      <c r="J8" s="47" t="s">
        <v>52</v>
      </c>
      <c r="K8" s="60" t="s">
        <v>70</v>
      </c>
      <c r="L8" s="58" t="s">
        <v>71</v>
      </c>
      <c r="M8" s="57" t="s">
        <v>55</v>
      </c>
      <c r="N8" s="57" t="s">
        <v>56</v>
      </c>
      <c r="O8" s="24" t="s">
        <v>57</v>
      </c>
      <c r="P8" s="59" t="s">
        <v>58</v>
      </c>
      <c r="Q8" s="74"/>
      <c r="R8" s="74"/>
      <c r="S8" s="29"/>
    </row>
    <row r="9" s="1" customFormat="1" hidden="1" spans="1:19">
      <c r="A9" s="38" t="s">
        <v>47</v>
      </c>
      <c r="B9" s="39" t="s">
        <v>25</v>
      </c>
      <c r="C9" s="39" t="s">
        <v>48</v>
      </c>
      <c r="D9" s="40" t="s">
        <v>72</v>
      </c>
      <c r="E9" s="40" t="s">
        <v>581</v>
      </c>
      <c r="F9" s="32">
        <v>1</v>
      </c>
      <c r="G9" s="32">
        <v>2024.6</v>
      </c>
      <c r="H9" s="32">
        <v>29</v>
      </c>
      <c r="I9" s="40">
        <v>1</v>
      </c>
      <c r="J9" s="47" t="s">
        <v>52</v>
      </c>
      <c r="K9" s="58" t="s">
        <v>74</v>
      </c>
      <c r="L9" s="60" t="s">
        <v>75</v>
      </c>
      <c r="M9" s="57" t="s">
        <v>55</v>
      </c>
      <c r="N9" s="57" t="s">
        <v>56</v>
      </c>
      <c r="O9" s="24" t="s">
        <v>57</v>
      </c>
      <c r="P9" s="59" t="s">
        <v>58</v>
      </c>
      <c r="Q9" s="74"/>
      <c r="R9" s="74"/>
      <c r="S9" s="29"/>
    </row>
    <row r="10" s="1" customFormat="1" ht="63.75" hidden="1" spans="1:19">
      <c r="A10" s="38" t="s">
        <v>47</v>
      </c>
      <c r="B10" s="41" t="s">
        <v>25</v>
      </c>
      <c r="C10" s="41" t="s">
        <v>48</v>
      </c>
      <c r="D10" s="42" t="s">
        <v>76</v>
      </c>
      <c r="E10" s="42" t="s">
        <v>77</v>
      </c>
      <c r="F10" s="42">
        <v>1</v>
      </c>
      <c r="G10" s="43" t="s">
        <v>78</v>
      </c>
      <c r="H10" s="42">
        <v>31</v>
      </c>
      <c r="I10" s="42">
        <v>1</v>
      </c>
      <c r="J10" s="50" t="s">
        <v>52</v>
      </c>
      <c r="K10" s="58" t="s">
        <v>79</v>
      </c>
      <c r="L10" s="58" t="s">
        <v>80</v>
      </c>
      <c r="M10" s="57" t="s">
        <v>81</v>
      </c>
      <c r="N10" s="57" t="s">
        <v>82</v>
      </c>
      <c r="O10" s="24" t="s">
        <v>57</v>
      </c>
      <c r="P10" s="59" t="s">
        <v>58</v>
      </c>
      <c r="Q10" s="74"/>
      <c r="R10" s="74"/>
      <c r="S10" s="29"/>
    </row>
    <row r="11" s="1" customFormat="1" ht="40.5" hidden="1" spans="1:19">
      <c r="A11" s="39" t="s">
        <v>47</v>
      </c>
      <c r="B11" s="39" t="s">
        <v>25</v>
      </c>
      <c r="C11" s="39" t="s">
        <v>48</v>
      </c>
      <c r="D11" s="29" t="s">
        <v>83</v>
      </c>
      <c r="E11" s="29" t="s">
        <v>84</v>
      </c>
      <c r="F11" s="29">
        <v>1</v>
      </c>
      <c r="G11" s="37" t="s">
        <v>78</v>
      </c>
      <c r="H11" s="29">
        <v>30</v>
      </c>
      <c r="I11" s="29">
        <v>1</v>
      </c>
      <c r="J11" s="47" t="s">
        <v>52</v>
      </c>
      <c r="K11" s="58" t="s">
        <v>85</v>
      </c>
      <c r="L11" s="58" t="s">
        <v>86</v>
      </c>
      <c r="M11" s="57" t="s">
        <v>33</v>
      </c>
      <c r="N11" s="57" t="s">
        <v>34</v>
      </c>
      <c r="O11" s="61" t="s">
        <v>57</v>
      </c>
      <c r="P11" s="59" t="s">
        <v>58</v>
      </c>
      <c r="Q11" s="74"/>
      <c r="R11" s="74"/>
      <c r="S11" s="29"/>
    </row>
    <row r="12" s="1" customFormat="1" ht="27" hidden="1" spans="1:19">
      <c r="A12" s="38" t="s">
        <v>47</v>
      </c>
      <c r="B12" s="44" t="s">
        <v>25</v>
      </c>
      <c r="C12" s="44" t="s">
        <v>48</v>
      </c>
      <c r="D12" s="45" t="s">
        <v>87</v>
      </c>
      <c r="E12" s="45" t="s">
        <v>88</v>
      </c>
      <c r="F12" s="45">
        <v>1</v>
      </c>
      <c r="G12" s="46" t="s">
        <v>89</v>
      </c>
      <c r="H12" s="45">
        <v>23</v>
      </c>
      <c r="I12" s="45">
        <v>1</v>
      </c>
      <c r="J12" s="62" t="s">
        <v>52</v>
      </c>
      <c r="K12" s="58" t="s">
        <v>90</v>
      </c>
      <c r="L12" s="60" t="s">
        <v>91</v>
      </c>
      <c r="M12" s="57" t="s">
        <v>92</v>
      </c>
      <c r="N12" s="57" t="s">
        <v>93</v>
      </c>
      <c r="O12" s="61" t="s">
        <v>57</v>
      </c>
      <c r="P12" s="59" t="s">
        <v>58</v>
      </c>
      <c r="Q12" s="74"/>
      <c r="R12" s="74"/>
      <c r="S12" s="29"/>
    </row>
    <row r="13" s="1" customFormat="1" ht="27" hidden="1" spans="1:19">
      <c r="A13" s="38" t="s">
        <v>47</v>
      </c>
      <c r="B13" s="39" t="s">
        <v>25</v>
      </c>
      <c r="C13" s="39" t="s">
        <v>48</v>
      </c>
      <c r="D13" s="47" t="s">
        <v>94</v>
      </c>
      <c r="E13" s="47" t="s">
        <v>95</v>
      </c>
      <c r="F13" s="47">
        <v>1</v>
      </c>
      <c r="G13" s="47">
        <v>2022.11</v>
      </c>
      <c r="H13" s="47">
        <v>10</v>
      </c>
      <c r="I13" s="47">
        <v>1</v>
      </c>
      <c r="J13" s="47" t="s">
        <v>52</v>
      </c>
      <c r="K13" s="58" t="s">
        <v>96</v>
      </c>
      <c r="L13" s="60" t="s">
        <v>97</v>
      </c>
      <c r="M13" s="57" t="s">
        <v>55</v>
      </c>
      <c r="N13" s="57" t="s">
        <v>56</v>
      </c>
      <c r="O13" s="61" t="s">
        <v>57</v>
      </c>
      <c r="P13" s="59" t="s">
        <v>58</v>
      </c>
      <c r="Q13" s="74"/>
      <c r="R13" s="74"/>
      <c r="S13" s="29"/>
    </row>
    <row r="14" s="1" customFormat="1" ht="27" hidden="1" spans="1:19">
      <c r="A14" s="38" t="s">
        <v>47</v>
      </c>
      <c r="B14" s="39" t="s">
        <v>25</v>
      </c>
      <c r="C14" s="39" t="s">
        <v>48</v>
      </c>
      <c r="D14" s="47" t="s">
        <v>94</v>
      </c>
      <c r="E14" s="47" t="s">
        <v>95</v>
      </c>
      <c r="F14" s="47">
        <v>1</v>
      </c>
      <c r="G14" s="47">
        <v>2022.11</v>
      </c>
      <c r="H14" s="47">
        <v>10</v>
      </c>
      <c r="I14" s="47">
        <v>1</v>
      </c>
      <c r="J14" s="47" t="s">
        <v>52</v>
      </c>
      <c r="K14" s="63" t="s">
        <v>98</v>
      </c>
      <c r="L14" s="63" t="s">
        <v>99</v>
      </c>
      <c r="M14" s="64" t="s">
        <v>92</v>
      </c>
      <c r="N14" s="64" t="s">
        <v>93</v>
      </c>
      <c r="O14" s="61" t="s">
        <v>57</v>
      </c>
      <c r="P14" s="59" t="s">
        <v>58</v>
      </c>
      <c r="Q14" s="74"/>
      <c r="R14" s="74"/>
      <c r="S14" s="29"/>
    </row>
    <row r="15" s="1" customFormat="1" ht="27" hidden="1" spans="1:19">
      <c r="A15" s="34" t="s">
        <v>100</v>
      </c>
      <c r="B15" s="47" t="s">
        <v>101</v>
      </c>
      <c r="C15" s="47" t="s">
        <v>102</v>
      </c>
      <c r="D15" s="47" t="s">
        <v>103</v>
      </c>
      <c r="E15" s="47" t="s">
        <v>104</v>
      </c>
      <c r="F15" s="47">
        <v>2</v>
      </c>
      <c r="G15" s="47" t="s">
        <v>29</v>
      </c>
      <c r="H15" s="47">
        <v>12</v>
      </c>
      <c r="I15" s="47">
        <v>2</v>
      </c>
      <c r="J15" s="47" t="s">
        <v>30</v>
      </c>
      <c r="K15" s="65" t="s">
        <v>105</v>
      </c>
      <c r="L15" s="65" t="s">
        <v>106</v>
      </c>
      <c r="M15" s="57" t="s">
        <v>33</v>
      </c>
      <c r="N15" s="29" t="s">
        <v>107</v>
      </c>
      <c r="O15" s="34" t="s">
        <v>57</v>
      </c>
      <c r="P15" s="51" t="s">
        <v>108</v>
      </c>
      <c r="Q15" s="74"/>
      <c r="R15" s="74"/>
      <c r="S15" s="29"/>
    </row>
    <row r="16" s="1" customFormat="1" ht="27" hidden="1" spans="1:19">
      <c r="A16" s="34" t="s">
        <v>100</v>
      </c>
      <c r="B16" s="47" t="s">
        <v>101</v>
      </c>
      <c r="C16" s="47" t="s">
        <v>102</v>
      </c>
      <c r="D16" s="47" t="s">
        <v>103</v>
      </c>
      <c r="E16" s="47" t="s">
        <v>104</v>
      </c>
      <c r="F16" s="47">
        <v>2</v>
      </c>
      <c r="G16" s="47" t="s">
        <v>29</v>
      </c>
      <c r="H16" s="47">
        <v>12</v>
      </c>
      <c r="I16" s="47">
        <v>2</v>
      </c>
      <c r="J16" s="47" t="s">
        <v>30</v>
      </c>
      <c r="K16" s="65" t="s">
        <v>109</v>
      </c>
      <c r="L16" s="65" t="s">
        <v>110</v>
      </c>
      <c r="M16" s="29" t="s">
        <v>33</v>
      </c>
      <c r="N16" s="29" t="s">
        <v>107</v>
      </c>
      <c r="O16" s="34" t="s">
        <v>57</v>
      </c>
      <c r="P16" s="51" t="s">
        <v>108</v>
      </c>
      <c r="Q16" s="74"/>
      <c r="R16" s="74"/>
      <c r="S16" s="29"/>
    </row>
    <row r="17" s="1" customFormat="1" ht="15" hidden="1" customHeight="1" spans="1:19">
      <c r="A17" s="48" t="s">
        <v>100</v>
      </c>
      <c r="B17" s="49" t="s">
        <v>101</v>
      </c>
      <c r="C17" s="49" t="s">
        <v>102</v>
      </c>
      <c r="D17" s="49" t="s">
        <v>103</v>
      </c>
      <c r="E17" s="49" t="s">
        <v>104</v>
      </c>
      <c r="F17" s="49">
        <v>2</v>
      </c>
      <c r="G17" s="49" t="s">
        <v>29</v>
      </c>
      <c r="H17" s="49">
        <v>12</v>
      </c>
      <c r="I17" s="49">
        <v>2</v>
      </c>
      <c r="J17" s="49" t="s">
        <v>30</v>
      </c>
      <c r="K17" s="65" t="s">
        <v>111</v>
      </c>
      <c r="L17" s="65" t="s">
        <v>112</v>
      </c>
      <c r="M17" s="57" t="s">
        <v>55</v>
      </c>
      <c r="N17" s="57" t="s">
        <v>56</v>
      </c>
      <c r="O17" s="34" t="s">
        <v>57</v>
      </c>
      <c r="P17" s="51" t="s">
        <v>108</v>
      </c>
      <c r="Q17" s="74"/>
      <c r="R17" s="74"/>
      <c r="S17" s="29"/>
    </row>
    <row r="18" s="1" customFormat="1" ht="27" hidden="1" spans="1:19">
      <c r="A18" s="34" t="s">
        <v>100</v>
      </c>
      <c r="B18" s="50" t="s">
        <v>101</v>
      </c>
      <c r="C18" s="50" t="s">
        <v>102</v>
      </c>
      <c r="D18" s="50" t="s">
        <v>103</v>
      </c>
      <c r="E18" s="50" t="s">
        <v>104</v>
      </c>
      <c r="F18" s="50">
        <v>2</v>
      </c>
      <c r="G18" s="50" t="s">
        <v>29</v>
      </c>
      <c r="H18" s="50">
        <v>12</v>
      </c>
      <c r="I18" s="50">
        <v>2</v>
      </c>
      <c r="J18" s="49" t="s">
        <v>30</v>
      </c>
      <c r="K18" s="65" t="s">
        <v>113</v>
      </c>
      <c r="L18" s="65" t="s">
        <v>114</v>
      </c>
      <c r="M18" s="57" t="s">
        <v>55</v>
      </c>
      <c r="N18" s="57" t="s">
        <v>56</v>
      </c>
      <c r="O18" s="34" t="s">
        <v>57</v>
      </c>
      <c r="P18" s="51" t="s">
        <v>108</v>
      </c>
      <c r="Q18" s="74"/>
      <c r="R18" s="74"/>
      <c r="S18" s="29"/>
    </row>
    <row r="19" s="1" customFormat="1" ht="27" hidden="1" spans="1:19">
      <c r="A19" s="34" t="s">
        <v>100</v>
      </c>
      <c r="B19" s="50" t="s">
        <v>101</v>
      </c>
      <c r="C19" s="50" t="s">
        <v>102</v>
      </c>
      <c r="D19" s="50" t="s">
        <v>103</v>
      </c>
      <c r="E19" s="50" t="s">
        <v>104</v>
      </c>
      <c r="F19" s="50">
        <v>2</v>
      </c>
      <c r="G19" s="50" t="s">
        <v>29</v>
      </c>
      <c r="H19" s="50">
        <v>12</v>
      </c>
      <c r="I19" s="50">
        <v>2</v>
      </c>
      <c r="J19" s="49" t="s">
        <v>30</v>
      </c>
      <c r="K19" s="65" t="s">
        <v>115</v>
      </c>
      <c r="L19" s="65" t="s">
        <v>114</v>
      </c>
      <c r="M19" s="57" t="s">
        <v>55</v>
      </c>
      <c r="N19" s="57" t="s">
        <v>56</v>
      </c>
      <c r="O19" s="34" t="s">
        <v>57</v>
      </c>
      <c r="P19" s="51" t="s">
        <v>108</v>
      </c>
      <c r="Q19" s="74"/>
      <c r="R19" s="74"/>
      <c r="S19" s="29"/>
    </row>
    <row r="20" s="1" customFormat="1" ht="25.5" hidden="1" spans="1:19">
      <c r="A20" s="51" t="s">
        <v>100</v>
      </c>
      <c r="B20" s="42" t="s">
        <v>25</v>
      </c>
      <c r="C20" s="42" t="s">
        <v>116</v>
      </c>
      <c r="D20" s="42" t="s">
        <v>117</v>
      </c>
      <c r="E20" s="52" t="s">
        <v>118</v>
      </c>
      <c r="F20" s="42">
        <v>1</v>
      </c>
      <c r="G20" s="43" t="s">
        <v>119</v>
      </c>
      <c r="H20" s="42">
        <v>31</v>
      </c>
      <c r="I20" s="42">
        <v>1</v>
      </c>
      <c r="J20" s="49" t="s">
        <v>30</v>
      </c>
      <c r="K20" s="66" t="s">
        <v>120</v>
      </c>
      <c r="L20" s="66" t="s">
        <v>121</v>
      </c>
      <c r="M20" s="57" t="s">
        <v>55</v>
      </c>
      <c r="N20" s="57" t="s">
        <v>56</v>
      </c>
      <c r="O20" s="34" t="s">
        <v>57</v>
      </c>
      <c r="P20" s="51" t="s">
        <v>108</v>
      </c>
      <c r="Q20" s="74"/>
      <c r="R20" s="74"/>
      <c r="S20" s="29"/>
    </row>
    <row r="21" s="1" customFormat="1" ht="63.75" hidden="1" spans="1:19">
      <c r="A21" s="47" t="s">
        <v>122</v>
      </c>
      <c r="B21" s="47" t="s">
        <v>101</v>
      </c>
      <c r="C21" s="47" t="s">
        <v>123</v>
      </c>
      <c r="D21" s="47" t="s">
        <v>124</v>
      </c>
      <c r="E21" s="47" t="s">
        <v>125</v>
      </c>
      <c r="F21" s="47">
        <v>4</v>
      </c>
      <c r="G21" s="47" t="s">
        <v>78</v>
      </c>
      <c r="H21" s="47">
        <v>18</v>
      </c>
      <c r="I21" s="47">
        <v>4</v>
      </c>
      <c r="J21" s="47" t="s">
        <v>52</v>
      </c>
      <c r="K21" s="66" t="s">
        <v>126</v>
      </c>
      <c r="L21" s="66" t="s">
        <v>127</v>
      </c>
      <c r="M21" s="57" t="s">
        <v>128</v>
      </c>
      <c r="N21" s="57" t="s">
        <v>129</v>
      </c>
      <c r="O21" s="67" t="s">
        <v>57</v>
      </c>
      <c r="P21" s="67" t="s">
        <v>130</v>
      </c>
      <c r="Q21" s="74"/>
      <c r="R21" s="74"/>
      <c r="S21" s="29"/>
    </row>
    <row r="22" s="1" customFormat="1" ht="27" hidden="1" spans="1:19">
      <c r="A22" s="49" t="s">
        <v>122</v>
      </c>
      <c r="B22" s="49" t="s">
        <v>101</v>
      </c>
      <c r="C22" s="49" t="s">
        <v>123</v>
      </c>
      <c r="D22" s="49" t="s">
        <v>124</v>
      </c>
      <c r="E22" s="49" t="s">
        <v>125</v>
      </c>
      <c r="F22" s="49">
        <v>4</v>
      </c>
      <c r="G22" s="49" t="s">
        <v>78</v>
      </c>
      <c r="H22" s="49">
        <v>18</v>
      </c>
      <c r="I22" s="49">
        <v>4</v>
      </c>
      <c r="J22" s="49" t="s">
        <v>52</v>
      </c>
      <c r="K22" s="66" t="s">
        <v>131</v>
      </c>
      <c r="L22" s="66" t="s">
        <v>131</v>
      </c>
      <c r="M22" s="57" t="s">
        <v>55</v>
      </c>
      <c r="N22" s="57" t="s">
        <v>56</v>
      </c>
      <c r="O22" s="67" t="s">
        <v>57</v>
      </c>
      <c r="P22" s="67" t="s">
        <v>130</v>
      </c>
      <c r="Q22" s="74"/>
      <c r="R22" s="74"/>
      <c r="S22" s="29"/>
    </row>
    <row r="23" s="1" customFormat="1" ht="27" hidden="1" spans="1:19">
      <c r="A23" s="47" t="s">
        <v>122</v>
      </c>
      <c r="B23" s="47" t="s">
        <v>101</v>
      </c>
      <c r="C23" s="47" t="s">
        <v>123</v>
      </c>
      <c r="D23" s="47" t="s">
        <v>124</v>
      </c>
      <c r="E23" s="47" t="s">
        <v>125</v>
      </c>
      <c r="F23" s="47">
        <v>4</v>
      </c>
      <c r="G23" s="47" t="s">
        <v>78</v>
      </c>
      <c r="H23" s="47">
        <v>18</v>
      </c>
      <c r="I23" s="47">
        <v>4</v>
      </c>
      <c r="J23" s="47" t="s">
        <v>52</v>
      </c>
      <c r="K23" s="66" t="s">
        <v>132</v>
      </c>
      <c r="L23" s="66" t="s">
        <v>132</v>
      </c>
      <c r="M23" s="57" t="s">
        <v>128</v>
      </c>
      <c r="N23" s="57" t="s">
        <v>129</v>
      </c>
      <c r="O23" s="67" t="s">
        <v>57</v>
      </c>
      <c r="P23" s="67" t="s">
        <v>130</v>
      </c>
      <c r="Q23" s="74"/>
      <c r="R23" s="74"/>
      <c r="S23" s="29"/>
    </row>
    <row r="24" s="1" customFormat="1" ht="27" hidden="1" spans="1:19">
      <c r="A24" s="47" t="s">
        <v>122</v>
      </c>
      <c r="B24" s="47" t="s">
        <v>101</v>
      </c>
      <c r="C24" s="47" t="s">
        <v>123</v>
      </c>
      <c r="D24" s="47" t="s">
        <v>124</v>
      </c>
      <c r="E24" s="47" t="s">
        <v>125</v>
      </c>
      <c r="F24" s="47">
        <v>4</v>
      </c>
      <c r="G24" s="47" t="s">
        <v>78</v>
      </c>
      <c r="H24" s="47">
        <v>18</v>
      </c>
      <c r="I24" s="47">
        <v>4</v>
      </c>
      <c r="J24" s="47" t="s">
        <v>52</v>
      </c>
      <c r="K24" s="66" t="s">
        <v>133</v>
      </c>
      <c r="L24" s="66" t="s">
        <v>133</v>
      </c>
      <c r="M24" s="57" t="s">
        <v>128</v>
      </c>
      <c r="N24" s="57" t="s">
        <v>129</v>
      </c>
      <c r="O24" s="67" t="s">
        <v>57</v>
      </c>
      <c r="P24" s="67" t="s">
        <v>130</v>
      </c>
      <c r="Q24" s="74"/>
      <c r="R24" s="74"/>
      <c r="S24" s="29"/>
    </row>
    <row r="25" s="1" customFormat="1" ht="27" hidden="1" spans="1:19">
      <c r="A25" s="49" t="s">
        <v>122</v>
      </c>
      <c r="B25" s="49" t="s">
        <v>101</v>
      </c>
      <c r="C25" s="49" t="s">
        <v>123</v>
      </c>
      <c r="D25" s="49" t="s">
        <v>124</v>
      </c>
      <c r="E25" s="49" t="s">
        <v>125</v>
      </c>
      <c r="F25" s="49">
        <v>4</v>
      </c>
      <c r="G25" s="49" t="s">
        <v>78</v>
      </c>
      <c r="H25" s="49">
        <v>18</v>
      </c>
      <c r="I25" s="49">
        <v>4</v>
      </c>
      <c r="J25" s="62" t="s">
        <v>52</v>
      </c>
      <c r="K25" s="66" t="s">
        <v>134</v>
      </c>
      <c r="L25" s="66" t="s">
        <v>134</v>
      </c>
      <c r="M25" s="57" t="s">
        <v>55</v>
      </c>
      <c r="N25" s="57" t="s">
        <v>56</v>
      </c>
      <c r="O25" s="67" t="s">
        <v>57</v>
      </c>
      <c r="P25" s="67" t="s">
        <v>130</v>
      </c>
      <c r="Q25" s="74"/>
      <c r="R25" s="74"/>
      <c r="S25" s="29"/>
    </row>
    <row r="26" s="1" customFormat="1" ht="27" hidden="1" spans="1:19">
      <c r="A26" s="49" t="s">
        <v>122</v>
      </c>
      <c r="B26" s="49" t="s">
        <v>101</v>
      </c>
      <c r="C26" s="49" t="s">
        <v>123</v>
      </c>
      <c r="D26" s="49" t="s">
        <v>124</v>
      </c>
      <c r="E26" s="49" t="s">
        <v>125</v>
      </c>
      <c r="F26" s="49">
        <v>4</v>
      </c>
      <c r="G26" s="49" t="s">
        <v>78</v>
      </c>
      <c r="H26" s="49">
        <v>18</v>
      </c>
      <c r="I26" s="49">
        <v>4</v>
      </c>
      <c r="J26" s="47" t="s">
        <v>52</v>
      </c>
      <c r="K26" s="66" t="s">
        <v>135</v>
      </c>
      <c r="L26" s="66" t="s">
        <v>136</v>
      </c>
      <c r="M26" s="57" t="s">
        <v>55</v>
      </c>
      <c r="N26" s="57" t="s">
        <v>56</v>
      </c>
      <c r="O26" s="67" t="s">
        <v>57</v>
      </c>
      <c r="P26" s="67" t="s">
        <v>130</v>
      </c>
      <c r="Q26" s="74"/>
      <c r="R26" s="74"/>
      <c r="S26" s="29"/>
    </row>
    <row r="27" s="1" customFormat="1" ht="27" hidden="1" spans="1:19">
      <c r="A27" s="50" t="s">
        <v>137</v>
      </c>
      <c r="B27" s="50" t="s">
        <v>101</v>
      </c>
      <c r="C27" s="50" t="s">
        <v>138</v>
      </c>
      <c r="D27" s="50" t="s">
        <v>139</v>
      </c>
      <c r="E27" s="50" t="s">
        <v>362</v>
      </c>
      <c r="F27" s="50">
        <v>8</v>
      </c>
      <c r="G27" s="50" t="s">
        <v>141</v>
      </c>
      <c r="H27" s="50">
        <v>31</v>
      </c>
      <c r="I27" s="50">
        <v>8</v>
      </c>
      <c r="J27" s="68" t="s">
        <v>30</v>
      </c>
      <c r="K27" s="69" t="s">
        <v>142</v>
      </c>
      <c r="L27" s="69" t="s">
        <v>143</v>
      </c>
      <c r="M27" s="29" t="s">
        <v>144</v>
      </c>
      <c r="N27" s="57" t="s">
        <v>145</v>
      </c>
      <c r="O27" s="51" t="s">
        <v>57</v>
      </c>
      <c r="P27" s="51" t="s">
        <v>146</v>
      </c>
      <c r="Q27" s="74"/>
      <c r="R27" s="74"/>
      <c r="S27" s="29"/>
    </row>
    <row r="28" s="1" customFormat="1" ht="27" hidden="1" spans="1:19">
      <c r="A28" s="50" t="s">
        <v>137</v>
      </c>
      <c r="B28" s="50" t="s">
        <v>101</v>
      </c>
      <c r="C28" s="50" t="s">
        <v>138</v>
      </c>
      <c r="D28" s="50" t="s">
        <v>139</v>
      </c>
      <c r="E28" s="50" t="s">
        <v>362</v>
      </c>
      <c r="F28" s="50">
        <v>8</v>
      </c>
      <c r="G28" s="50" t="s">
        <v>141</v>
      </c>
      <c r="H28" s="50">
        <v>31</v>
      </c>
      <c r="I28" s="50">
        <v>8</v>
      </c>
      <c r="J28" s="68" t="s">
        <v>30</v>
      </c>
      <c r="K28" s="69" t="s">
        <v>143</v>
      </c>
      <c r="L28" s="69" t="s">
        <v>147</v>
      </c>
      <c r="M28" s="29" t="s">
        <v>148</v>
      </c>
      <c r="N28" s="57" t="s">
        <v>149</v>
      </c>
      <c r="O28" s="51" t="s">
        <v>57</v>
      </c>
      <c r="P28" s="51" t="s">
        <v>146</v>
      </c>
      <c r="Q28" s="74"/>
      <c r="R28" s="74"/>
      <c r="S28" s="29"/>
    </row>
    <row r="29" s="1" customFormat="1" ht="40.5" hidden="1" spans="1:19">
      <c r="A29" s="50" t="s">
        <v>137</v>
      </c>
      <c r="B29" s="50" t="s">
        <v>101</v>
      </c>
      <c r="C29" s="50" t="s">
        <v>138</v>
      </c>
      <c r="D29" s="50" t="s">
        <v>139</v>
      </c>
      <c r="E29" s="50" t="s">
        <v>362</v>
      </c>
      <c r="F29" s="50">
        <v>8</v>
      </c>
      <c r="G29" s="50" t="s">
        <v>141</v>
      </c>
      <c r="H29" s="50">
        <v>31</v>
      </c>
      <c r="I29" s="50">
        <v>8</v>
      </c>
      <c r="J29" s="68" t="s">
        <v>30</v>
      </c>
      <c r="K29" s="69" t="s">
        <v>150</v>
      </c>
      <c r="L29" s="69" t="s">
        <v>151</v>
      </c>
      <c r="M29" s="29" t="s">
        <v>148</v>
      </c>
      <c r="N29" s="57" t="s">
        <v>149</v>
      </c>
      <c r="O29" s="51" t="s">
        <v>57</v>
      </c>
      <c r="P29" s="51" t="s">
        <v>146</v>
      </c>
      <c r="Q29" s="74"/>
      <c r="R29" s="74"/>
      <c r="S29" s="29"/>
    </row>
    <row r="30" s="1" customFormat="1" ht="40.5" hidden="1" spans="1:19">
      <c r="A30" s="50" t="s">
        <v>137</v>
      </c>
      <c r="B30" s="50" t="s">
        <v>101</v>
      </c>
      <c r="C30" s="50" t="s">
        <v>138</v>
      </c>
      <c r="D30" s="50" t="s">
        <v>139</v>
      </c>
      <c r="E30" s="50" t="s">
        <v>362</v>
      </c>
      <c r="F30" s="50">
        <v>8</v>
      </c>
      <c r="G30" s="50" t="s">
        <v>141</v>
      </c>
      <c r="H30" s="50">
        <v>31</v>
      </c>
      <c r="I30" s="50">
        <v>8</v>
      </c>
      <c r="J30" s="68" t="s">
        <v>30</v>
      </c>
      <c r="K30" s="69" t="s">
        <v>150</v>
      </c>
      <c r="L30" s="69" t="s">
        <v>152</v>
      </c>
      <c r="M30" s="29" t="s">
        <v>148</v>
      </c>
      <c r="N30" s="57" t="s">
        <v>149</v>
      </c>
      <c r="O30" s="51" t="s">
        <v>57</v>
      </c>
      <c r="P30" s="51" t="s">
        <v>146</v>
      </c>
      <c r="Q30" s="74"/>
      <c r="R30" s="74"/>
      <c r="S30" s="29"/>
    </row>
    <row r="31" s="1" customFormat="1" ht="27" hidden="1" spans="1:19">
      <c r="A31" s="50" t="s">
        <v>137</v>
      </c>
      <c r="B31" s="50" t="s">
        <v>101</v>
      </c>
      <c r="C31" s="50" t="s">
        <v>138</v>
      </c>
      <c r="D31" s="50" t="s">
        <v>139</v>
      </c>
      <c r="E31" s="50" t="s">
        <v>362</v>
      </c>
      <c r="F31" s="50">
        <v>8</v>
      </c>
      <c r="G31" s="50" t="s">
        <v>141</v>
      </c>
      <c r="H31" s="50">
        <v>31</v>
      </c>
      <c r="I31" s="50">
        <v>8</v>
      </c>
      <c r="J31" s="68" t="s">
        <v>30</v>
      </c>
      <c r="K31" s="69" t="s">
        <v>151</v>
      </c>
      <c r="L31" s="69" t="s">
        <v>153</v>
      </c>
      <c r="M31" s="29" t="s">
        <v>148</v>
      </c>
      <c r="N31" s="57" t="s">
        <v>149</v>
      </c>
      <c r="O31" s="51" t="s">
        <v>57</v>
      </c>
      <c r="P31" s="51" t="s">
        <v>146</v>
      </c>
      <c r="Q31" s="74"/>
      <c r="R31" s="74"/>
      <c r="S31" s="29"/>
    </row>
    <row r="32" s="1" customFormat="1" ht="27" hidden="1" spans="1:19">
      <c r="A32" s="50" t="s">
        <v>137</v>
      </c>
      <c r="B32" s="50" t="s">
        <v>101</v>
      </c>
      <c r="C32" s="50" t="s">
        <v>138</v>
      </c>
      <c r="D32" s="50" t="s">
        <v>139</v>
      </c>
      <c r="E32" s="50" t="s">
        <v>362</v>
      </c>
      <c r="F32" s="50">
        <v>8</v>
      </c>
      <c r="G32" s="50" t="s">
        <v>141</v>
      </c>
      <c r="H32" s="50">
        <v>31</v>
      </c>
      <c r="I32" s="50">
        <v>8</v>
      </c>
      <c r="J32" s="68" t="s">
        <v>30</v>
      </c>
      <c r="K32" s="69" t="s">
        <v>154</v>
      </c>
      <c r="L32" s="69" t="s">
        <v>155</v>
      </c>
      <c r="M32" s="29" t="s">
        <v>148</v>
      </c>
      <c r="N32" s="57" t="s">
        <v>149</v>
      </c>
      <c r="O32" s="51" t="s">
        <v>57</v>
      </c>
      <c r="P32" s="51" t="s">
        <v>146</v>
      </c>
      <c r="Q32" s="74"/>
      <c r="R32" s="74"/>
      <c r="S32" s="29"/>
    </row>
    <row r="33" s="1" customFormat="1" ht="27" hidden="1" spans="1:19">
      <c r="A33" s="50" t="s">
        <v>137</v>
      </c>
      <c r="B33" s="50" t="s">
        <v>101</v>
      </c>
      <c r="C33" s="50" t="s">
        <v>138</v>
      </c>
      <c r="D33" s="50" t="s">
        <v>139</v>
      </c>
      <c r="E33" s="50" t="s">
        <v>362</v>
      </c>
      <c r="F33" s="50">
        <v>8</v>
      </c>
      <c r="G33" s="50" t="s">
        <v>141</v>
      </c>
      <c r="H33" s="50">
        <v>31</v>
      </c>
      <c r="I33" s="50">
        <v>8</v>
      </c>
      <c r="J33" s="68" t="s">
        <v>30</v>
      </c>
      <c r="K33" s="69" t="s">
        <v>154</v>
      </c>
      <c r="L33" s="69" t="s">
        <v>156</v>
      </c>
      <c r="M33" s="29" t="s">
        <v>144</v>
      </c>
      <c r="N33" s="57" t="s">
        <v>145</v>
      </c>
      <c r="O33" s="51" t="s">
        <v>57</v>
      </c>
      <c r="P33" s="51" t="s">
        <v>146</v>
      </c>
      <c r="Q33" s="74"/>
      <c r="R33" s="74"/>
      <c r="S33" s="29"/>
    </row>
    <row r="34" s="1" customFormat="1" ht="27" hidden="1" spans="1:19">
      <c r="A34" s="50" t="s">
        <v>137</v>
      </c>
      <c r="B34" s="50" t="s">
        <v>101</v>
      </c>
      <c r="C34" s="50" t="s">
        <v>138</v>
      </c>
      <c r="D34" s="50" t="s">
        <v>139</v>
      </c>
      <c r="E34" s="50" t="s">
        <v>362</v>
      </c>
      <c r="F34" s="50">
        <v>8</v>
      </c>
      <c r="G34" s="50" t="s">
        <v>141</v>
      </c>
      <c r="H34" s="50">
        <v>31</v>
      </c>
      <c r="I34" s="50">
        <v>8</v>
      </c>
      <c r="J34" s="68" t="s">
        <v>30</v>
      </c>
      <c r="K34" s="69" t="s">
        <v>157</v>
      </c>
      <c r="L34" s="69" t="s">
        <v>158</v>
      </c>
      <c r="M34" s="29" t="s">
        <v>148</v>
      </c>
      <c r="N34" s="57" t="s">
        <v>149</v>
      </c>
      <c r="O34" s="51" t="s">
        <v>57</v>
      </c>
      <c r="P34" s="51" t="s">
        <v>146</v>
      </c>
      <c r="Q34" s="74"/>
      <c r="R34" s="74"/>
      <c r="S34" s="29"/>
    </row>
    <row r="35" s="1" customFormat="1" ht="27" hidden="1" spans="1:19">
      <c r="A35" s="50" t="s">
        <v>137</v>
      </c>
      <c r="B35" s="50" t="s">
        <v>101</v>
      </c>
      <c r="C35" s="50" t="s">
        <v>138</v>
      </c>
      <c r="D35" s="50" t="s">
        <v>139</v>
      </c>
      <c r="E35" s="50" t="s">
        <v>362</v>
      </c>
      <c r="F35" s="50">
        <v>8</v>
      </c>
      <c r="G35" s="50" t="s">
        <v>141</v>
      </c>
      <c r="H35" s="50">
        <v>31</v>
      </c>
      <c r="I35" s="50">
        <v>8</v>
      </c>
      <c r="J35" s="68" t="s">
        <v>30</v>
      </c>
      <c r="K35" s="69" t="s">
        <v>157</v>
      </c>
      <c r="L35" s="69" t="s">
        <v>159</v>
      </c>
      <c r="M35" s="29" t="s">
        <v>148</v>
      </c>
      <c r="N35" s="57" t="s">
        <v>149</v>
      </c>
      <c r="O35" s="51" t="s">
        <v>57</v>
      </c>
      <c r="P35" s="51" t="s">
        <v>146</v>
      </c>
      <c r="Q35" s="74"/>
      <c r="R35" s="74"/>
      <c r="S35" s="29"/>
    </row>
    <row r="36" s="1" customFormat="1" ht="27" hidden="1" spans="1:19">
      <c r="A36" s="50" t="s">
        <v>137</v>
      </c>
      <c r="B36" s="50" t="s">
        <v>101</v>
      </c>
      <c r="C36" s="50" t="s">
        <v>138</v>
      </c>
      <c r="D36" s="50" t="s">
        <v>139</v>
      </c>
      <c r="E36" s="50" t="s">
        <v>140</v>
      </c>
      <c r="F36" s="50">
        <v>8</v>
      </c>
      <c r="G36" s="50" t="s">
        <v>141</v>
      </c>
      <c r="H36" s="50">
        <v>31</v>
      </c>
      <c r="I36" s="50">
        <v>8</v>
      </c>
      <c r="J36" s="68" t="s">
        <v>30</v>
      </c>
      <c r="K36" s="69" t="s">
        <v>160</v>
      </c>
      <c r="L36" s="69" t="s">
        <v>161</v>
      </c>
      <c r="M36" s="29" t="s">
        <v>55</v>
      </c>
      <c r="N36" s="57" t="s">
        <v>56</v>
      </c>
      <c r="O36" s="51" t="s">
        <v>57</v>
      </c>
      <c r="P36" s="51" t="s">
        <v>146</v>
      </c>
      <c r="Q36" s="74"/>
      <c r="R36" s="74"/>
      <c r="S36" s="29"/>
    </row>
    <row r="37" s="1" customFormat="1" ht="27" hidden="1" spans="1:19">
      <c r="A37" s="50" t="s">
        <v>137</v>
      </c>
      <c r="B37" s="50" t="s">
        <v>101</v>
      </c>
      <c r="C37" s="50" t="s">
        <v>138</v>
      </c>
      <c r="D37" s="50" t="s">
        <v>139</v>
      </c>
      <c r="E37" s="50" t="s">
        <v>362</v>
      </c>
      <c r="F37" s="50">
        <v>8</v>
      </c>
      <c r="G37" s="50" t="s">
        <v>141</v>
      </c>
      <c r="H37" s="50">
        <v>31</v>
      </c>
      <c r="I37" s="50">
        <v>8</v>
      </c>
      <c r="J37" s="68" t="s">
        <v>30</v>
      </c>
      <c r="K37" s="69" t="s">
        <v>162</v>
      </c>
      <c r="L37" s="69" t="s">
        <v>163</v>
      </c>
      <c r="M37" s="29" t="s">
        <v>144</v>
      </c>
      <c r="N37" s="57" t="s">
        <v>145</v>
      </c>
      <c r="O37" s="51" t="s">
        <v>57</v>
      </c>
      <c r="P37" s="51" t="s">
        <v>146</v>
      </c>
      <c r="Q37" s="74"/>
      <c r="R37" s="74"/>
      <c r="S37" s="29"/>
    </row>
    <row r="38" s="1" customFormat="1" ht="27" hidden="1" spans="1:19">
      <c r="A38" s="50" t="s">
        <v>137</v>
      </c>
      <c r="B38" s="50" t="s">
        <v>101</v>
      </c>
      <c r="C38" s="50" t="s">
        <v>138</v>
      </c>
      <c r="D38" s="50" t="s">
        <v>139</v>
      </c>
      <c r="E38" s="50" t="s">
        <v>362</v>
      </c>
      <c r="F38" s="50">
        <v>8</v>
      </c>
      <c r="G38" s="50" t="s">
        <v>141</v>
      </c>
      <c r="H38" s="50">
        <v>31</v>
      </c>
      <c r="I38" s="50">
        <v>8</v>
      </c>
      <c r="J38" s="68" t="s">
        <v>30</v>
      </c>
      <c r="K38" s="69" t="s">
        <v>162</v>
      </c>
      <c r="L38" s="69" t="s">
        <v>164</v>
      </c>
      <c r="M38" s="29" t="s">
        <v>144</v>
      </c>
      <c r="N38" s="57" t="s">
        <v>145</v>
      </c>
      <c r="O38" s="51" t="s">
        <v>57</v>
      </c>
      <c r="P38" s="51" t="s">
        <v>146</v>
      </c>
      <c r="Q38" s="74"/>
      <c r="R38" s="74"/>
      <c r="S38" s="29"/>
    </row>
    <row r="39" s="1" customFormat="1" ht="27" hidden="1" spans="1:19">
      <c r="A39" s="50" t="s">
        <v>137</v>
      </c>
      <c r="B39" s="50" t="s">
        <v>101</v>
      </c>
      <c r="C39" s="50" t="s">
        <v>138</v>
      </c>
      <c r="D39" s="50" t="s">
        <v>139</v>
      </c>
      <c r="E39" s="50" t="s">
        <v>362</v>
      </c>
      <c r="F39" s="50">
        <v>8</v>
      </c>
      <c r="G39" s="50" t="s">
        <v>141</v>
      </c>
      <c r="H39" s="50">
        <v>31</v>
      </c>
      <c r="I39" s="50">
        <v>8</v>
      </c>
      <c r="J39" s="68" t="s">
        <v>30</v>
      </c>
      <c r="K39" s="69" t="s">
        <v>162</v>
      </c>
      <c r="L39" s="69" t="s">
        <v>165</v>
      </c>
      <c r="M39" s="29" t="s">
        <v>148</v>
      </c>
      <c r="N39" s="57" t="s">
        <v>149</v>
      </c>
      <c r="O39" s="51" t="s">
        <v>57</v>
      </c>
      <c r="P39" s="51" t="s">
        <v>146</v>
      </c>
      <c r="Q39" s="74"/>
      <c r="R39" s="74"/>
      <c r="S39" s="29"/>
    </row>
    <row r="40" s="1" customFormat="1" ht="54" hidden="1" spans="1:19">
      <c r="A40" s="49" t="s">
        <v>166</v>
      </c>
      <c r="B40" s="50" t="s">
        <v>101</v>
      </c>
      <c r="C40" s="50" t="s">
        <v>167</v>
      </c>
      <c r="D40" s="50" t="s">
        <v>168</v>
      </c>
      <c r="E40" s="50" t="s">
        <v>169</v>
      </c>
      <c r="F40" s="50">
        <v>2</v>
      </c>
      <c r="G40" s="41" t="s">
        <v>39</v>
      </c>
      <c r="H40" s="50">
        <v>5</v>
      </c>
      <c r="I40" s="50">
        <v>2</v>
      </c>
      <c r="J40" s="49" t="s">
        <v>170</v>
      </c>
      <c r="K40" s="70" t="s">
        <v>171</v>
      </c>
      <c r="L40" s="69" t="s">
        <v>172</v>
      </c>
      <c r="M40" s="29" t="s">
        <v>148</v>
      </c>
      <c r="N40" s="57" t="s">
        <v>149</v>
      </c>
      <c r="O40" s="71" t="s">
        <v>57</v>
      </c>
      <c r="P40" s="72" t="s">
        <v>146</v>
      </c>
      <c r="Q40" s="74"/>
      <c r="R40" s="74"/>
      <c r="S40" s="29"/>
    </row>
    <row r="41" s="1" customFormat="1" ht="40.5" hidden="1" spans="1:19">
      <c r="A41" s="49" t="s">
        <v>166</v>
      </c>
      <c r="B41" s="50" t="s">
        <v>101</v>
      </c>
      <c r="C41" s="50" t="s">
        <v>167</v>
      </c>
      <c r="D41" s="50" t="s">
        <v>168</v>
      </c>
      <c r="E41" s="50" t="s">
        <v>169</v>
      </c>
      <c r="F41" s="50">
        <v>2</v>
      </c>
      <c r="G41" s="41" t="s">
        <v>39</v>
      </c>
      <c r="H41" s="50">
        <v>5</v>
      </c>
      <c r="I41" s="50">
        <v>2</v>
      </c>
      <c r="J41" s="49" t="s">
        <v>170</v>
      </c>
      <c r="K41" s="70" t="s">
        <v>173</v>
      </c>
      <c r="L41" s="69" t="s">
        <v>174</v>
      </c>
      <c r="M41" s="29" t="s">
        <v>175</v>
      </c>
      <c r="N41" s="57" t="s">
        <v>175</v>
      </c>
      <c r="O41" s="71" t="s">
        <v>57</v>
      </c>
      <c r="P41" s="72" t="s">
        <v>146</v>
      </c>
      <c r="Q41" s="74"/>
      <c r="R41" s="74"/>
      <c r="S41" s="29"/>
    </row>
    <row r="42" s="1" customFormat="1" ht="67.5" hidden="1" spans="1:19">
      <c r="A42" s="49" t="s">
        <v>166</v>
      </c>
      <c r="B42" s="50" t="s">
        <v>101</v>
      </c>
      <c r="C42" s="50" t="s">
        <v>176</v>
      </c>
      <c r="D42" s="50" t="s">
        <v>177</v>
      </c>
      <c r="E42" s="50" t="s">
        <v>178</v>
      </c>
      <c r="F42" s="50">
        <v>4</v>
      </c>
      <c r="G42" s="50" t="s">
        <v>179</v>
      </c>
      <c r="H42" s="50">
        <v>4</v>
      </c>
      <c r="I42" s="50">
        <v>4</v>
      </c>
      <c r="J42" s="49" t="s">
        <v>180</v>
      </c>
      <c r="K42" s="69" t="s">
        <v>181</v>
      </c>
      <c r="L42" s="69" t="s">
        <v>182</v>
      </c>
      <c r="M42" s="29" t="s">
        <v>175</v>
      </c>
      <c r="N42" s="57" t="s">
        <v>175</v>
      </c>
      <c r="O42" s="71" t="s">
        <v>57</v>
      </c>
      <c r="P42" s="72" t="s">
        <v>146</v>
      </c>
      <c r="Q42" s="75"/>
      <c r="R42" s="74"/>
      <c r="S42" s="29"/>
    </row>
    <row r="43" s="1" customFormat="1" ht="67.5" hidden="1" spans="1:19">
      <c r="A43" s="49" t="s">
        <v>166</v>
      </c>
      <c r="B43" s="50" t="s">
        <v>101</v>
      </c>
      <c r="C43" s="50" t="s">
        <v>176</v>
      </c>
      <c r="D43" s="50" t="s">
        <v>177</v>
      </c>
      <c r="E43" s="50" t="s">
        <v>178</v>
      </c>
      <c r="F43" s="50">
        <v>4</v>
      </c>
      <c r="G43" s="50" t="s">
        <v>179</v>
      </c>
      <c r="H43" s="50">
        <v>4</v>
      </c>
      <c r="I43" s="50">
        <v>4</v>
      </c>
      <c r="J43" s="49" t="s">
        <v>180</v>
      </c>
      <c r="K43" s="69" t="s">
        <v>183</v>
      </c>
      <c r="L43" s="69" t="s">
        <v>184</v>
      </c>
      <c r="M43" s="29" t="s">
        <v>33</v>
      </c>
      <c r="N43" s="29" t="s">
        <v>107</v>
      </c>
      <c r="O43" s="71" t="s">
        <v>57</v>
      </c>
      <c r="P43" s="72" t="s">
        <v>146</v>
      </c>
      <c r="Q43" s="75"/>
      <c r="R43" s="74"/>
      <c r="S43" s="29"/>
    </row>
    <row r="44" s="1" customFormat="1" ht="40.5" hidden="1" spans="1:19">
      <c r="A44" s="49" t="s">
        <v>166</v>
      </c>
      <c r="B44" s="42" t="s">
        <v>25</v>
      </c>
      <c r="C44" s="42" t="s">
        <v>167</v>
      </c>
      <c r="D44" s="42" t="s">
        <v>185</v>
      </c>
      <c r="E44" s="53" t="s">
        <v>186</v>
      </c>
      <c r="F44" s="54">
        <v>1</v>
      </c>
      <c r="G44" s="55" t="s">
        <v>39</v>
      </c>
      <c r="H44" s="54">
        <v>27</v>
      </c>
      <c r="I44" s="50">
        <v>1</v>
      </c>
      <c r="J44" s="49" t="s">
        <v>170</v>
      </c>
      <c r="K44" s="69" t="s">
        <v>187</v>
      </c>
      <c r="L44" s="69" t="s">
        <v>188</v>
      </c>
      <c r="M44" s="29" t="s">
        <v>61</v>
      </c>
      <c r="N44" s="29" t="s">
        <v>62</v>
      </c>
      <c r="O44" s="71" t="s">
        <v>57</v>
      </c>
      <c r="P44" s="72" t="s">
        <v>146</v>
      </c>
      <c r="Q44" s="74"/>
      <c r="R44" s="74"/>
      <c r="S44" s="29"/>
    </row>
    <row r="45" s="1" customFormat="1" ht="27" spans="1:19">
      <c r="A45" s="34" t="s">
        <v>189</v>
      </c>
      <c r="B45" s="47" t="s">
        <v>101</v>
      </c>
      <c r="C45" s="47" t="s">
        <v>190</v>
      </c>
      <c r="D45" s="50" t="s">
        <v>191</v>
      </c>
      <c r="E45" s="50" t="s">
        <v>192</v>
      </c>
      <c r="F45" s="50">
        <v>1</v>
      </c>
      <c r="G45" s="50">
        <v>2024.9</v>
      </c>
      <c r="H45" s="50">
        <v>21</v>
      </c>
      <c r="I45" s="50">
        <v>1</v>
      </c>
      <c r="J45" s="47" t="s">
        <v>170</v>
      </c>
      <c r="K45" s="65" t="s">
        <v>193</v>
      </c>
      <c r="L45" s="65" t="s">
        <v>194</v>
      </c>
      <c r="M45" s="29" t="s">
        <v>195</v>
      </c>
      <c r="N45" s="29" t="s">
        <v>196</v>
      </c>
      <c r="O45" s="34" t="s">
        <v>57</v>
      </c>
      <c r="P45" s="34" t="s">
        <v>146</v>
      </c>
      <c r="Q45" s="74"/>
      <c r="R45" s="74"/>
      <c r="S45" s="29"/>
    </row>
    <row r="46" s="1" customFormat="1" ht="27" hidden="1" spans="1:19">
      <c r="A46" s="34" t="s">
        <v>189</v>
      </c>
      <c r="B46" s="47" t="s">
        <v>101</v>
      </c>
      <c r="C46" s="47" t="s">
        <v>190</v>
      </c>
      <c r="D46" s="50" t="s">
        <v>191</v>
      </c>
      <c r="E46" s="50" t="s">
        <v>192</v>
      </c>
      <c r="F46" s="50">
        <v>1</v>
      </c>
      <c r="G46" s="50">
        <v>2024.9</v>
      </c>
      <c r="H46" s="50">
        <v>21</v>
      </c>
      <c r="I46" s="50">
        <v>1</v>
      </c>
      <c r="J46" s="47" t="s">
        <v>170</v>
      </c>
      <c r="K46" s="65" t="s">
        <v>197</v>
      </c>
      <c r="L46" s="66" t="s">
        <v>198</v>
      </c>
      <c r="M46" s="29" t="s">
        <v>55</v>
      </c>
      <c r="N46" s="29" t="s">
        <v>199</v>
      </c>
      <c r="O46" s="34" t="s">
        <v>57</v>
      </c>
      <c r="P46" s="34" t="s">
        <v>146</v>
      </c>
      <c r="Q46" s="74"/>
      <c r="R46" s="74"/>
      <c r="S46" s="29"/>
    </row>
    <row r="47" s="1" customFormat="1" ht="27" hidden="1" spans="1:19">
      <c r="A47" s="34" t="s">
        <v>189</v>
      </c>
      <c r="B47" s="47" t="s">
        <v>101</v>
      </c>
      <c r="C47" s="47" t="s">
        <v>190</v>
      </c>
      <c r="D47" s="50" t="s">
        <v>191</v>
      </c>
      <c r="E47" s="50" t="s">
        <v>192</v>
      </c>
      <c r="F47" s="50">
        <v>1</v>
      </c>
      <c r="G47" s="50">
        <v>2024.9</v>
      </c>
      <c r="H47" s="50">
        <v>21</v>
      </c>
      <c r="I47" s="50">
        <v>1</v>
      </c>
      <c r="J47" s="47" t="s">
        <v>170</v>
      </c>
      <c r="K47" s="65" t="s">
        <v>200</v>
      </c>
      <c r="L47" s="65" t="s">
        <v>201</v>
      </c>
      <c r="M47" s="29" t="s">
        <v>55</v>
      </c>
      <c r="N47" s="29" t="s">
        <v>199</v>
      </c>
      <c r="O47" s="34" t="s">
        <v>57</v>
      </c>
      <c r="P47" s="34" t="s">
        <v>146</v>
      </c>
      <c r="Q47" s="74"/>
      <c r="R47" s="74"/>
      <c r="S47" s="29"/>
    </row>
    <row r="48" s="1" customFormat="1" ht="27" hidden="1" spans="1:19">
      <c r="A48" s="34" t="s">
        <v>189</v>
      </c>
      <c r="B48" s="47" t="s">
        <v>101</v>
      </c>
      <c r="C48" s="47" t="s">
        <v>190</v>
      </c>
      <c r="D48" s="50" t="s">
        <v>191</v>
      </c>
      <c r="E48" s="50" t="s">
        <v>192</v>
      </c>
      <c r="F48" s="50">
        <v>1</v>
      </c>
      <c r="G48" s="50">
        <v>2024.9</v>
      </c>
      <c r="H48" s="50">
        <v>21</v>
      </c>
      <c r="I48" s="50">
        <v>1</v>
      </c>
      <c r="J48" s="47" t="s">
        <v>170</v>
      </c>
      <c r="K48" s="65" t="s">
        <v>202</v>
      </c>
      <c r="L48" s="65" t="s">
        <v>203</v>
      </c>
      <c r="M48" s="29" t="s">
        <v>92</v>
      </c>
      <c r="N48" s="29" t="s">
        <v>204</v>
      </c>
      <c r="O48" s="34" t="s">
        <v>57</v>
      </c>
      <c r="P48" s="34" t="s">
        <v>146</v>
      </c>
      <c r="Q48" s="74"/>
      <c r="R48" s="74"/>
      <c r="S48" s="29"/>
    </row>
    <row r="49" s="1" customFormat="1" ht="40.5" spans="1:19">
      <c r="A49" s="34" t="s">
        <v>189</v>
      </c>
      <c r="B49" s="47" t="s">
        <v>101</v>
      </c>
      <c r="C49" s="47" t="s">
        <v>205</v>
      </c>
      <c r="D49" s="47" t="s">
        <v>206</v>
      </c>
      <c r="E49" s="47" t="s">
        <v>207</v>
      </c>
      <c r="F49" s="47">
        <v>3</v>
      </c>
      <c r="G49" s="47" t="s">
        <v>208</v>
      </c>
      <c r="H49" s="47">
        <v>13</v>
      </c>
      <c r="I49" s="47">
        <v>3</v>
      </c>
      <c r="J49" s="47" t="s">
        <v>170</v>
      </c>
      <c r="K49" s="65" t="s">
        <v>209</v>
      </c>
      <c r="L49" s="66" t="s">
        <v>210</v>
      </c>
      <c r="M49" s="29" t="s">
        <v>211</v>
      </c>
      <c r="N49" s="29" t="s">
        <v>212</v>
      </c>
      <c r="O49" s="34" t="s">
        <v>57</v>
      </c>
      <c r="P49" s="34" t="s">
        <v>146</v>
      </c>
      <c r="Q49" s="74"/>
      <c r="R49" s="74"/>
      <c r="S49" s="29"/>
    </row>
    <row r="50" s="1" customFormat="1" ht="40.5" spans="1:19">
      <c r="A50" s="34" t="s">
        <v>189</v>
      </c>
      <c r="B50" s="47" t="s">
        <v>101</v>
      </c>
      <c r="C50" s="47" t="s">
        <v>205</v>
      </c>
      <c r="D50" s="47" t="s">
        <v>206</v>
      </c>
      <c r="E50" s="47" t="s">
        <v>207</v>
      </c>
      <c r="F50" s="47">
        <v>3</v>
      </c>
      <c r="G50" s="47" t="s">
        <v>208</v>
      </c>
      <c r="H50" s="47">
        <v>13</v>
      </c>
      <c r="I50" s="47">
        <v>3</v>
      </c>
      <c r="J50" s="47" t="s">
        <v>170</v>
      </c>
      <c r="K50" s="65" t="s">
        <v>213</v>
      </c>
      <c r="L50" s="66" t="s">
        <v>214</v>
      </c>
      <c r="M50" s="29" t="s">
        <v>211</v>
      </c>
      <c r="N50" s="29" t="s">
        <v>212</v>
      </c>
      <c r="O50" s="34" t="s">
        <v>57</v>
      </c>
      <c r="P50" s="34" t="s">
        <v>146</v>
      </c>
      <c r="Q50" s="74"/>
      <c r="R50" s="74"/>
      <c r="S50" s="29"/>
    </row>
    <row r="51" s="1" customFormat="1" ht="40.5" spans="1:19">
      <c r="A51" s="34" t="s">
        <v>189</v>
      </c>
      <c r="B51" s="47" t="s">
        <v>101</v>
      </c>
      <c r="C51" s="47" t="s">
        <v>205</v>
      </c>
      <c r="D51" s="47" t="s">
        <v>206</v>
      </c>
      <c r="E51" s="47" t="s">
        <v>207</v>
      </c>
      <c r="F51" s="47">
        <v>3</v>
      </c>
      <c r="G51" s="47" t="s">
        <v>208</v>
      </c>
      <c r="H51" s="47">
        <v>13</v>
      </c>
      <c r="I51" s="47">
        <v>3</v>
      </c>
      <c r="J51" s="47" t="s">
        <v>170</v>
      </c>
      <c r="K51" s="65" t="s">
        <v>215</v>
      </c>
      <c r="L51" s="65" t="s">
        <v>216</v>
      </c>
      <c r="M51" s="29" t="s">
        <v>211</v>
      </c>
      <c r="N51" s="29" t="s">
        <v>212</v>
      </c>
      <c r="O51" s="34" t="s">
        <v>57</v>
      </c>
      <c r="P51" s="34" t="s">
        <v>146</v>
      </c>
      <c r="Q51" s="74"/>
      <c r="R51" s="74"/>
      <c r="S51" s="29"/>
    </row>
    <row r="52" s="1" customFormat="1" ht="27" hidden="1" spans="1:19">
      <c r="A52" s="51" t="s">
        <v>217</v>
      </c>
      <c r="B52" s="47" t="s">
        <v>101</v>
      </c>
      <c r="C52" s="47" t="s">
        <v>218</v>
      </c>
      <c r="D52" s="50" t="s">
        <v>219</v>
      </c>
      <c r="E52" s="50" t="s">
        <v>220</v>
      </c>
      <c r="F52" s="50">
        <v>60</v>
      </c>
      <c r="G52" s="50">
        <v>2024.3</v>
      </c>
      <c r="H52" s="50">
        <v>4</v>
      </c>
      <c r="I52" s="50">
        <v>60</v>
      </c>
      <c r="J52" s="47" t="s">
        <v>30</v>
      </c>
      <c r="K52" s="65" t="s">
        <v>221</v>
      </c>
      <c r="L52" s="65" t="s">
        <v>222</v>
      </c>
      <c r="M52" s="29" t="s">
        <v>144</v>
      </c>
      <c r="N52" s="29" t="s">
        <v>223</v>
      </c>
      <c r="O52" s="50" t="s">
        <v>57</v>
      </c>
      <c r="P52" s="51" t="s">
        <v>58</v>
      </c>
      <c r="Q52" s="74"/>
      <c r="R52" s="74"/>
      <c r="S52" s="29"/>
    </row>
    <row r="53" s="1" customFormat="1" ht="27" hidden="1" spans="1:19">
      <c r="A53" s="51" t="s">
        <v>217</v>
      </c>
      <c r="B53" s="47" t="s">
        <v>101</v>
      </c>
      <c r="C53" s="47" t="s">
        <v>218</v>
      </c>
      <c r="D53" s="50" t="s">
        <v>219</v>
      </c>
      <c r="E53" s="50" t="s">
        <v>220</v>
      </c>
      <c r="F53" s="50">
        <v>60</v>
      </c>
      <c r="G53" s="50">
        <v>2024.3</v>
      </c>
      <c r="H53" s="50">
        <v>4</v>
      </c>
      <c r="I53" s="50">
        <v>60</v>
      </c>
      <c r="J53" s="47" t="s">
        <v>30</v>
      </c>
      <c r="K53" s="65" t="s">
        <v>224</v>
      </c>
      <c r="L53" s="65" t="s">
        <v>225</v>
      </c>
      <c r="M53" s="29" t="s">
        <v>144</v>
      </c>
      <c r="N53" s="29" t="s">
        <v>223</v>
      </c>
      <c r="O53" s="50" t="s">
        <v>57</v>
      </c>
      <c r="P53" s="51" t="s">
        <v>58</v>
      </c>
      <c r="Q53" s="74"/>
      <c r="R53" s="74"/>
      <c r="S53" s="29"/>
    </row>
    <row r="54" s="1" customFormat="1" ht="27" hidden="1" spans="1:19">
      <c r="A54" s="51" t="s">
        <v>217</v>
      </c>
      <c r="B54" s="47" t="s">
        <v>101</v>
      </c>
      <c r="C54" s="47" t="s">
        <v>218</v>
      </c>
      <c r="D54" s="50" t="s">
        <v>219</v>
      </c>
      <c r="E54" s="50" t="s">
        <v>220</v>
      </c>
      <c r="F54" s="50">
        <v>60</v>
      </c>
      <c r="G54" s="50">
        <v>2024.3</v>
      </c>
      <c r="H54" s="50">
        <v>4</v>
      </c>
      <c r="I54" s="50">
        <v>60</v>
      </c>
      <c r="J54" s="47" t="s">
        <v>30</v>
      </c>
      <c r="K54" s="65" t="s">
        <v>226</v>
      </c>
      <c r="L54" s="65" t="s">
        <v>227</v>
      </c>
      <c r="M54" s="29" t="s">
        <v>148</v>
      </c>
      <c r="N54" s="29" t="s">
        <v>228</v>
      </c>
      <c r="O54" s="50" t="s">
        <v>57</v>
      </c>
      <c r="P54" s="51" t="s">
        <v>58</v>
      </c>
      <c r="Q54" s="74"/>
      <c r="R54" s="74"/>
      <c r="S54" s="29"/>
    </row>
    <row r="55" s="1" customFormat="1" ht="27" hidden="1" spans="1:19">
      <c r="A55" s="51" t="s">
        <v>217</v>
      </c>
      <c r="B55" s="47" t="s">
        <v>101</v>
      </c>
      <c r="C55" s="47" t="s">
        <v>218</v>
      </c>
      <c r="D55" s="50" t="s">
        <v>219</v>
      </c>
      <c r="E55" s="50" t="s">
        <v>220</v>
      </c>
      <c r="F55" s="50">
        <v>60</v>
      </c>
      <c r="G55" s="50">
        <v>2024.3</v>
      </c>
      <c r="H55" s="50">
        <v>4</v>
      </c>
      <c r="I55" s="50">
        <v>60</v>
      </c>
      <c r="J55" s="47" t="s">
        <v>30</v>
      </c>
      <c r="K55" s="66" t="s">
        <v>229</v>
      </c>
      <c r="L55" s="65" t="s">
        <v>230</v>
      </c>
      <c r="M55" s="29" t="s">
        <v>144</v>
      </c>
      <c r="N55" s="29" t="s">
        <v>223</v>
      </c>
      <c r="O55" s="50" t="s">
        <v>57</v>
      </c>
      <c r="P55" s="51" t="s">
        <v>58</v>
      </c>
      <c r="Q55" s="74"/>
      <c r="R55" s="74"/>
      <c r="S55" s="29"/>
    </row>
    <row r="56" s="1" customFormat="1" ht="27" hidden="1" spans="1:19">
      <c r="A56" s="51" t="s">
        <v>217</v>
      </c>
      <c r="B56" s="47" t="s">
        <v>101</v>
      </c>
      <c r="C56" s="47" t="s">
        <v>218</v>
      </c>
      <c r="D56" s="50" t="s">
        <v>219</v>
      </c>
      <c r="E56" s="50" t="s">
        <v>220</v>
      </c>
      <c r="F56" s="50">
        <v>60</v>
      </c>
      <c r="G56" s="50">
        <v>2024.3</v>
      </c>
      <c r="H56" s="50">
        <v>4</v>
      </c>
      <c r="I56" s="50">
        <v>60</v>
      </c>
      <c r="J56" s="47" t="s">
        <v>30</v>
      </c>
      <c r="K56" s="65" t="s">
        <v>231</v>
      </c>
      <c r="L56" s="65" t="s">
        <v>232</v>
      </c>
      <c r="M56" s="29" t="s">
        <v>148</v>
      </c>
      <c r="N56" s="29" t="s">
        <v>228</v>
      </c>
      <c r="O56" s="50" t="s">
        <v>57</v>
      </c>
      <c r="P56" s="51" t="s">
        <v>58</v>
      </c>
      <c r="Q56" s="74"/>
      <c r="R56" s="74"/>
      <c r="S56" s="29"/>
    </row>
    <row r="57" s="1" customFormat="1" ht="27" hidden="1" spans="1:19">
      <c r="A57" s="51" t="s">
        <v>217</v>
      </c>
      <c r="B57" s="47" t="s">
        <v>101</v>
      </c>
      <c r="C57" s="47" t="s">
        <v>218</v>
      </c>
      <c r="D57" s="50" t="s">
        <v>219</v>
      </c>
      <c r="E57" s="50" t="s">
        <v>220</v>
      </c>
      <c r="F57" s="50">
        <v>60</v>
      </c>
      <c r="G57" s="50">
        <v>2024.3</v>
      </c>
      <c r="H57" s="50">
        <v>4</v>
      </c>
      <c r="I57" s="50">
        <v>60</v>
      </c>
      <c r="J57" s="47" t="s">
        <v>30</v>
      </c>
      <c r="K57" s="69" t="s">
        <v>233</v>
      </c>
      <c r="L57" s="69" t="s">
        <v>234</v>
      </c>
      <c r="M57" s="29" t="s">
        <v>148</v>
      </c>
      <c r="N57" s="29" t="s">
        <v>228</v>
      </c>
      <c r="O57" s="50" t="s">
        <v>57</v>
      </c>
      <c r="P57" s="51" t="s">
        <v>58</v>
      </c>
      <c r="Q57" s="74"/>
      <c r="R57" s="74"/>
      <c r="S57" s="29"/>
    </row>
    <row r="58" s="1" customFormat="1" ht="27" hidden="1" spans="1:19">
      <c r="A58" s="51" t="s">
        <v>217</v>
      </c>
      <c r="B58" s="47" t="s">
        <v>101</v>
      </c>
      <c r="C58" s="47" t="s">
        <v>218</v>
      </c>
      <c r="D58" s="50" t="s">
        <v>219</v>
      </c>
      <c r="E58" s="50" t="s">
        <v>220</v>
      </c>
      <c r="F58" s="50">
        <v>60</v>
      </c>
      <c r="G58" s="50">
        <v>2024.3</v>
      </c>
      <c r="H58" s="50">
        <v>4</v>
      </c>
      <c r="I58" s="50">
        <v>60</v>
      </c>
      <c r="J58" s="47" t="s">
        <v>30</v>
      </c>
      <c r="K58" s="69" t="s">
        <v>235</v>
      </c>
      <c r="L58" s="69" t="s">
        <v>236</v>
      </c>
      <c r="M58" s="29" t="s">
        <v>144</v>
      </c>
      <c r="N58" s="29" t="s">
        <v>223</v>
      </c>
      <c r="O58" s="50" t="s">
        <v>57</v>
      </c>
      <c r="P58" s="51" t="s">
        <v>58</v>
      </c>
      <c r="Q58" s="74"/>
      <c r="R58" s="74"/>
      <c r="S58" s="29"/>
    </row>
    <row r="59" s="1" customFormat="1" ht="27" hidden="1" spans="1:19">
      <c r="A59" s="51" t="s">
        <v>217</v>
      </c>
      <c r="B59" s="47" t="s">
        <v>101</v>
      </c>
      <c r="C59" s="47" t="s">
        <v>218</v>
      </c>
      <c r="D59" s="50" t="s">
        <v>219</v>
      </c>
      <c r="E59" s="50" t="s">
        <v>220</v>
      </c>
      <c r="F59" s="50">
        <v>60</v>
      </c>
      <c r="G59" s="50">
        <v>2024.3</v>
      </c>
      <c r="H59" s="50">
        <v>4</v>
      </c>
      <c r="I59" s="50">
        <v>60</v>
      </c>
      <c r="J59" s="47" t="s">
        <v>30</v>
      </c>
      <c r="K59" s="69" t="s">
        <v>237</v>
      </c>
      <c r="L59" s="69" t="s">
        <v>237</v>
      </c>
      <c r="M59" s="29" t="s">
        <v>144</v>
      </c>
      <c r="N59" s="29" t="s">
        <v>223</v>
      </c>
      <c r="O59" s="50" t="s">
        <v>57</v>
      </c>
      <c r="P59" s="51" t="s">
        <v>58</v>
      </c>
      <c r="Q59" s="74"/>
      <c r="R59" s="74"/>
      <c r="S59" s="29"/>
    </row>
    <row r="60" s="1" customFormat="1" ht="27" hidden="1" spans="1:19">
      <c r="A60" s="51" t="s">
        <v>217</v>
      </c>
      <c r="B60" s="47" t="s">
        <v>101</v>
      </c>
      <c r="C60" s="47" t="s">
        <v>218</v>
      </c>
      <c r="D60" s="47" t="s">
        <v>238</v>
      </c>
      <c r="E60" s="47" t="s">
        <v>239</v>
      </c>
      <c r="F60" s="47">
        <v>1</v>
      </c>
      <c r="G60" s="47">
        <v>2024.1</v>
      </c>
      <c r="H60" s="47">
        <v>25</v>
      </c>
      <c r="I60" s="47">
        <v>1</v>
      </c>
      <c r="J60" s="47" t="s">
        <v>30</v>
      </c>
      <c r="K60" s="73" t="s">
        <v>240</v>
      </c>
      <c r="L60" s="56" t="s">
        <v>241</v>
      </c>
      <c r="M60" s="29" t="s">
        <v>148</v>
      </c>
      <c r="N60" s="29" t="s">
        <v>228</v>
      </c>
      <c r="O60" s="50" t="s">
        <v>57</v>
      </c>
      <c r="P60" s="51" t="s">
        <v>58</v>
      </c>
      <c r="Q60" s="74"/>
      <c r="R60" s="74"/>
      <c r="S60" s="29"/>
    </row>
    <row r="61" s="1" customFormat="1" ht="27" hidden="1" spans="1:19">
      <c r="A61" s="51" t="s">
        <v>217</v>
      </c>
      <c r="B61" s="47" t="s">
        <v>101</v>
      </c>
      <c r="C61" s="47" t="s">
        <v>218</v>
      </c>
      <c r="D61" s="47" t="s">
        <v>238</v>
      </c>
      <c r="E61" s="47" t="s">
        <v>239</v>
      </c>
      <c r="F61" s="47">
        <v>1</v>
      </c>
      <c r="G61" s="47">
        <v>2024.1</v>
      </c>
      <c r="H61" s="47">
        <v>25</v>
      </c>
      <c r="I61" s="47">
        <v>1</v>
      </c>
      <c r="J61" s="47" t="s">
        <v>30</v>
      </c>
      <c r="K61" s="73" t="s">
        <v>242</v>
      </c>
      <c r="L61" s="56" t="s">
        <v>243</v>
      </c>
      <c r="M61" s="29" t="s">
        <v>144</v>
      </c>
      <c r="N61" s="29" t="s">
        <v>223</v>
      </c>
      <c r="O61" s="50" t="s">
        <v>57</v>
      </c>
      <c r="P61" s="51" t="s">
        <v>58</v>
      </c>
      <c r="Q61" s="74"/>
      <c r="R61" s="74"/>
      <c r="S61" s="29"/>
    </row>
    <row r="62" s="1" customFormat="1" ht="27" hidden="1" spans="1:19">
      <c r="A62" s="51" t="s">
        <v>217</v>
      </c>
      <c r="B62" s="47" t="s">
        <v>101</v>
      </c>
      <c r="C62" s="47" t="s">
        <v>218</v>
      </c>
      <c r="D62" s="47" t="s">
        <v>238</v>
      </c>
      <c r="E62" s="47" t="s">
        <v>239</v>
      </c>
      <c r="F62" s="47">
        <v>1</v>
      </c>
      <c r="G62" s="47">
        <v>2024.1</v>
      </c>
      <c r="H62" s="47">
        <v>25</v>
      </c>
      <c r="I62" s="47">
        <v>1</v>
      </c>
      <c r="J62" s="47" t="s">
        <v>30</v>
      </c>
      <c r="K62" s="65" t="s">
        <v>244</v>
      </c>
      <c r="L62" s="65" t="s">
        <v>245</v>
      </c>
      <c r="M62" s="29" t="s">
        <v>148</v>
      </c>
      <c r="N62" s="29" t="s">
        <v>228</v>
      </c>
      <c r="O62" s="50" t="s">
        <v>57</v>
      </c>
      <c r="P62" s="51" t="s">
        <v>58</v>
      </c>
      <c r="Q62" s="74"/>
      <c r="R62" s="74"/>
      <c r="S62" s="29"/>
    </row>
    <row r="63" s="1" customFormat="1" ht="27" hidden="1" spans="1:19">
      <c r="A63" s="51" t="s">
        <v>217</v>
      </c>
      <c r="B63" s="47" t="s">
        <v>101</v>
      </c>
      <c r="C63" s="47" t="s">
        <v>218</v>
      </c>
      <c r="D63" s="47" t="s">
        <v>238</v>
      </c>
      <c r="E63" s="47" t="s">
        <v>239</v>
      </c>
      <c r="F63" s="47">
        <v>1</v>
      </c>
      <c r="G63" s="47">
        <v>2024.1</v>
      </c>
      <c r="H63" s="47">
        <v>25</v>
      </c>
      <c r="I63" s="47">
        <v>1</v>
      </c>
      <c r="J63" s="47" t="s">
        <v>30</v>
      </c>
      <c r="K63" s="65" t="s">
        <v>246</v>
      </c>
      <c r="L63" s="65" t="s">
        <v>247</v>
      </c>
      <c r="M63" s="29" t="s">
        <v>248</v>
      </c>
      <c r="N63" s="29" t="s">
        <v>249</v>
      </c>
      <c r="O63" s="50" t="s">
        <v>57</v>
      </c>
      <c r="P63" s="51" t="s">
        <v>58</v>
      </c>
      <c r="Q63" s="74"/>
      <c r="R63" s="74"/>
      <c r="S63" s="29"/>
    </row>
    <row r="64" s="1" customFormat="1" ht="27" hidden="1" spans="1:19">
      <c r="A64" s="51" t="s">
        <v>217</v>
      </c>
      <c r="B64" s="47" t="s">
        <v>101</v>
      </c>
      <c r="C64" s="47" t="s">
        <v>218</v>
      </c>
      <c r="D64" s="47" t="s">
        <v>250</v>
      </c>
      <c r="E64" s="47" t="s">
        <v>251</v>
      </c>
      <c r="F64" s="47">
        <v>1</v>
      </c>
      <c r="G64" s="47">
        <v>2024.1</v>
      </c>
      <c r="H64" s="47">
        <v>25</v>
      </c>
      <c r="I64" s="47">
        <v>1</v>
      </c>
      <c r="J64" s="47" t="s">
        <v>30</v>
      </c>
      <c r="K64" s="65" t="s">
        <v>252</v>
      </c>
      <c r="L64" s="65" t="s">
        <v>253</v>
      </c>
      <c r="M64" s="29" t="s">
        <v>175</v>
      </c>
      <c r="N64" s="29" t="s">
        <v>175</v>
      </c>
      <c r="O64" s="50" t="s">
        <v>57</v>
      </c>
      <c r="P64" s="51" t="s">
        <v>58</v>
      </c>
      <c r="Q64" s="74"/>
      <c r="R64" s="74"/>
      <c r="S64" s="29"/>
    </row>
    <row r="65" s="1" customFormat="1" ht="27" hidden="1" spans="1:19">
      <c r="A65" s="51" t="s">
        <v>217</v>
      </c>
      <c r="B65" s="47" t="s">
        <v>101</v>
      </c>
      <c r="C65" s="47" t="s">
        <v>218</v>
      </c>
      <c r="D65" s="47" t="s">
        <v>250</v>
      </c>
      <c r="E65" s="47" t="s">
        <v>251</v>
      </c>
      <c r="F65" s="47">
        <v>1</v>
      </c>
      <c r="G65" s="47">
        <v>2024.1</v>
      </c>
      <c r="H65" s="47">
        <v>25</v>
      </c>
      <c r="I65" s="47">
        <v>1</v>
      </c>
      <c r="J65" s="47" t="s">
        <v>30</v>
      </c>
      <c r="K65" s="65" t="s">
        <v>254</v>
      </c>
      <c r="L65" s="65" t="s">
        <v>255</v>
      </c>
      <c r="M65" s="29" t="s">
        <v>175</v>
      </c>
      <c r="N65" s="29" t="s">
        <v>175</v>
      </c>
      <c r="O65" s="50" t="s">
        <v>57</v>
      </c>
      <c r="P65" s="51" t="s">
        <v>58</v>
      </c>
      <c r="Q65" s="74"/>
      <c r="R65" s="74"/>
      <c r="S65" s="29"/>
    </row>
    <row r="66" s="1" customFormat="1" ht="27" hidden="1" spans="1:19">
      <c r="A66" s="51" t="s">
        <v>217</v>
      </c>
      <c r="B66" s="47" t="s">
        <v>101</v>
      </c>
      <c r="C66" s="47" t="s">
        <v>218</v>
      </c>
      <c r="D66" s="47" t="s">
        <v>250</v>
      </c>
      <c r="E66" s="47" t="s">
        <v>251</v>
      </c>
      <c r="F66" s="47">
        <v>1</v>
      </c>
      <c r="G66" s="47">
        <v>2024.1</v>
      </c>
      <c r="H66" s="47">
        <v>25</v>
      </c>
      <c r="I66" s="47">
        <v>1</v>
      </c>
      <c r="J66" s="47" t="s">
        <v>30</v>
      </c>
      <c r="K66" s="65" t="s">
        <v>256</v>
      </c>
      <c r="L66" s="65" t="s">
        <v>257</v>
      </c>
      <c r="M66" s="29" t="s">
        <v>175</v>
      </c>
      <c r="N66" s="29" t="s">
        <v>175</v>
      </c>
      <c r="O66" s="50" t="s">
        <v>57</v>
      </c>
      <c r="P66" s="51" t="s">
        <v>58</v>
      </c>
      <c r="Q66" s="74"/>
      <c r="R66" s="74"/>
      <c r="S66" s="29"/>
    </row>
    <row r="67" s="1" customFormat="1" ht="30" hidden="1" customHeight="1" spans="1:19">
      <c r="A67" s="74" t="s">
        <v>258</v>
      </c>
      <c r="B67" s="76" t="s">
        <v>259</v>
      </c>
      <c r="C67" s="77"/>
      <c r="D67" s="77"/>
      <c r="E67" s="77"/>
      <c r="F67" s="77"/>
      <c r="G67" s="77"/>
      <c r="H67" s="77"/>
      <c r="I67" s="77"/>
      <c r="J67" s="80"/>
      <c r="K67" s="56" t="s">
        <v>260</v>
      </c>
      <c r="L67" s="56" t="s">
        <v>261</v>
      </c>
      <c r="M67" s="29" t="s">
        <v>262</v>
      </c>
      <c r="N67" s="29" t="s">
        <v>263</v>
      </c>
      <c r="O67" s="74" t="s">
        <v>264</v>
      </c>
      <c r="P67" s="74"/>
      <c r="Q67" s="74"/>
      <c r="R67" s="74"/>
      <c r="S67" s="29"/>
    </row>
    <row r="68" s="1" customFormat="1" ht="27" hidden="1" spans="1:19">
      <c r="A68" s="67" t="s">
        <v>265</v>
      </c>
      <c r="B68" s="49" t="s">
        <v>101</v>
      </c>
      <c r="C68" s="47" t="s">
        <v>266</v>
      </c>
      <c r="D68" s="47" t="s">
        <v>267</v>
      </c>
      <c r="E68" s="47" t="s">
        <v>268</v>
      </c>
      <c r="F68" s="29">
        <v>5</v>
      </c>
      <c r="G68" s="37">
        <v>2024.7</v>
      </c>
      <c r="H68" s="29">
        <v>30</v>
      </c>
      <c r="I68" s="29">
        <v>5</v>
      </c>
      <c r="J68" s="49" t="s">
        <v>52</v>
      </c>
      <c r="K68" s="65" t="s">
        <v>269</v>
      </c>
      <c r="L68" s="65" t="s">
        <v>270</v>
      </c>
      <c r="M68" s="29" t="s">
        <v>55</v>
      </c>
      <c r="N68" s="45" t="s">
        <v>271</v>
      </c>
      <c r="O68" s="47" t="s">
        <v>57</v>
      </c>
      <c r="P68" s="51" t="s">
        <v>146</v>
      </c>
      <c r="Q68" s="74"/>
      <c r="R68" s="74"/>
      <c r="S68" s="29"/>
    </row>
    <row r="69" s="1" customFormat="1" ht="27" hidden="1" spans="1:19">
      <c r="A69" s="67" t="s">
        <v>265</v>
      </c>
      <c r="B69" s="49" t="s">
        <v>101</v>
      </c>
      <c r="C69" s="50" t="s">
        <v>272</v>
      </c>
      <c r="D69" s="50" t="s">
        <v>273</v>
      </c>
      <c r="E69" s="50" t="s">
        <v>274</v>
      </c>
      <c r="F69" s="50">
        <v>2</v>
      </c>
      <c r="G69" s="50" t="s">
        <v>275</v>
      </c>
      <c r="H69" s="50">
        <v>12</v>
      </c>
      <c r="I69" s="50">
        <v>2</v>
      </c>
      <c r="J69" s="49" t="s">
        <v>52</v>
      </c>
      <c r="K69" s="66" t="s">
        <v>276</v>
      </c>
      <c r="L69" s="66" t="s">
        <v>277</v>
      </c>
      <c r="M69" s="29" t="s">
        <v>278</v>
      </c>
      <c r="N69" s="45" t="s">
        <v>279</v>
      </c>
      <c r="O69" s="47" t="s">
        <v>57</v>
      </c>
      <c r="P69" s="51" t="s">
        <v>146</v>
      </c>
      <c r="Q69" s="74"/>
      <c r="R69" s="74"/>
      <c r="S69" s="29"/>
    </row>
    <row r="70" s="1" customFormat="1" hidden="1" spans="1:19">
      <c r="A70" s="67" t="s">
        <v>265</v>
      </c>
      <c r="B70" s="49" t="s">
        <v>101</v>
      </c>
      <c r="C70" s="50" t="s">
        <v>272</v>
      </c>
      <c r="D70" s="50" t="s">
        <v>273</v>
      </c>
      <c r="E70" s="50" t="s">
        <v>274</v>
      </c>
      <c r="F70" s="50">
        <v>2</v>
      </c>
      <c r="G70" s="50" t="s">
        <v>275</v>
      </c>
      <c r="H70" s="50">
        <v>12</v>
      </c>
      <c r="I70" s="50">
        <v>2</v>
      </c>
      <c r="J70" s="49" t="s">
        <v>52</v>
      </c>
      <c r="K70" s="66" t="s">
        <v>280</v>
      </c>
      <c r="L70" s="66" t="s">
        <v>281</v>
      </c>
      <c r="M70" s="29" t="s">
        <v>92</v>
      </c>
      <c r="N70" s="45" t="s">
        <v>93</v>
      </c>
      <c r="O70" s="47" t="s">
        <v>57</v>
      </c>
      <c r="P70" s="51" t="s">
        <v>146</v>
      </c>
      <c r="Q70" s="74"/>
      <c r="R70" s="74"/>
      <c r="S70" s="29"/>
    </row>
    <row r="71" s="1" customFormat="1" hidden="1" spans="1:19">
      <c r="A71" s="67" t="s">
        <v>265</v>
      </c>
      <c r="B71" s="49" t="s">
        <v>101</v>
      </c>
      <c r="C71" s="42" t="s">
        <v>272</v>
      </c>
      <c r="D71" s="42" t="s">
        <v>282</v>
      </c>
      <c r="E71" s="42" t="s">
        <v>283</v>
      </c>
      <c r="F71" s="42">
        <v>2</v>
      </c>
      <c r="G71" s="42">
        <v>2024.8</v>
      </c>
      <c r="H71" s="42">
        <v>28</v>
      </c>
      <c r="I71" s="42">
        <v>2</v>
      </c>
      <c r="J71" s="49" t="s">
        <v>52</v>
      </c>
      <c r="K71" s="65" t="s">
        <v>284</v>
      </c>
      <c r="L71" s="65" t="s">
        <v>285</v>
      </c>
      <c r="M71" s="29" t="s">
        <v>33</v>
      </c>
      <c r="N71" s="45" t="s">
        <v>286</v>
      </c>
      <c r="O71" s="47" t="s">
        <v>57</v>
      </c>
      <c r="P71" s="51" t="s">
        <v>146</v>
      </c>
      <c r="Q71" s="74"/>
      <c r="R71" s="74"/>
      <c r="S71" s="29"/>
    </row>
    <row r="72" s="1" customFormat="1" hidden="1" spans="1:19">
      <c r="A72" s="78" t="s">
        <v>287</v>
      </c>
      <c r="B72" s="47" t="s">
        <v>101</v>
      </c>
      <c r="C72" s="47" t="s">
        <v>288</v>
      </c>
      <c r="D72" s="47" t="s">
        <v>289</v>
      </c>
      <c r="E72" s="47" t="s">
        <v>290</v>
      </c>
      <c r="F72" s="47">
        <v>1</v>
      </c>
      <c r="G72" s="47">
        <v>2024.11</v>
      </c>
      <c r="H72" s="47">
        <v>18</v>
      </c>
      <c r="I72" s="47">
        <v>1</v>
      </c>
      <c r="J72" s="47" t="s">
        <v>170</v>
      </c>
      <c r="K72" s="40" t="s">
        <v>291</v>
      </c>
      <c r="L72" s="29" t="s">
        <v>292</v>
      </c>
      <c r="M72" s="29" t="s">
        <v>293</v>
      </c>
      <c r="N72" s="29" t="s">
        <v>294</v>
      </c>
      <c r="O72" s="81" t="s">
        <v>57</v>
      </c>
      <c r="P72" s="81" t="s">
        <v>146</v>
      </c>
      <c r="Q72" s="74"/>
      <c r="R72" s="74"/>
      <c r="S72" s="29"/>
    </row>
    <row r="73" s="16" customFormat="1" hidden="1" spans="1:19">
      <c r="A73" s="78" t="s">
        <v>287</v>
      </c>
      <c r="B73" s="47" t="s">
        <v>101</v>
      </c>
      <c r="C73" s="47" t="s">
        <v>288</v>
      </c>
      <c r="D73" s="47" t="s">
        <v>289</v>
      </c>
      <c r="E73" s="47" t="s">
        <v>290</v>
      </c>
      <c r="F73" s="47">
        <v>1</v>
      </c>
      <c r="G73" s="47">
        <v>2024.11</v>
      </c>
      <c r="H73" s="47">
        <v>18</v>
      </c>
      <c r="I73" s="47">
        <v>1</v>
      </c>
      <c r="J73" s="47" t="s">
        <v>170</v>
      </c>
      <c r="K73" s="40" t="s">
        <v>295</v>
      </c>
      <c r="L73" s="29" t="s">
        <v>296</v>
      </c>
      <c r="M73" s="29" t="s">
        <v>293</v>
      </c>
      <c r="N73" s="29" t="s">
        <v>294</v>
      </c>
      <c r="O73" s="81" t="s">
        <v>57</v>
      </c>
      <c r="P73" s="81" t="s">
        <v>146</v>
      </c>
      <c r="Q73" s="74"/>
      <c r="R73" s="74"/>
      <c r="S73" s="29"/>
    </row>
    <row r="74" s="16" customFormat="1" ht="27" hidden="1" spans="1:19">
      <c r="A74" s="78" t="s">
        <v>287</v>
      </c>
      <c r="B74" s="47" t="s">
        <v>101</v>
      </c>
      <c r="C74" s="47" t="s">
        <v>288</v>
      </c>
      <c r="D74" s="47" t="s">
        <v>289</v>
      </c>
      <c r="E74" s="47" t="s">
        <v>290</v>
      </c>
      <c r="F74" s="47">
        <v>1</v>
      </c>
      <c r="G74" s="47">
        <v>2024.11</v>
      </c>
      <c r="H74" s="47">
        <v>18</v>
      </c>
      <c r="I74" s="47">
        <v>1</v>
      </c>
      <c r="J74" s="47" t="s">
        <v>170</v>
      </c>
      <c r="K74" s="40" t="s">
        <v>297</v>
      </c>
      <c r="L74" s="29" t="s">
        <v>298</v>
      </c>
      <c r="M74" s="29" t="s">
        <v>148</v>
      </c>
      <c r="N74" s="29" t="s">
        <v>149</v>
      </c>
      <c r="O74" s="81" t="s">
        <v>57</v>
      </c>
      <c r="P74" s="81" t="s">
        <v>146</v>
      </c>
      <c r="Q74" s="74"/>
      <c r="R74" s="74"/>
      <c r="S74" s="29"/>
    </row>
    <row r="75" s="33" customFormat="1" ht="28.5" hidden="1" spans="1:19">
      <c r="A75" s="78" t="s">
        <v>287</v>
      </c>
      <c r="B75" s="47" t="s">
        <v>101</v>
      </c>
      <c r="C75" s="47" t="s">
        <v>288</v>
      </c>
      <c r="D75" s="47" t="s">
        <v>289</v>
      </c>
      <c r="E75" s="47" t="s">
        <v>290</v>
      </c>
      <c r="F75" s="47">
        <v>1</v>
      </c>
      <c r="G75" s="47">
        <v>2024.11</v>
      </c>
      <c r="H75" s="47">
        <v>18</v>
      </c>
      <c r="I75" s="47">
        <v>1</v>
      </c>
      <c r="J75" s="47" t="s">
        <v>170</v>
      </c>
      <c r="K75" s="40" t="s">
        <v>299</v>
      </c>
      <c r="L75" s="29" t="s">
        <v>300</v>
      </c>
      <c r="M75" s="29" t="s">
        <v>148</v>
      </c>
      <c r="N75" s="29" t="s">
        <v>149</v>
      </c>
      <c r="O75" s="81" t="s">
        <v>57</v>
      </c>
      <c r="P75" s="81" t="s">
        <v>146</v>
      </c>
      <c r="Q75" s="82"/>
      <c r="R75" s="82"/>
      <c r="S75" s="83"/>
    </row>
    <row r="76" s="33" customFormat="1" ht="27" hidden="1" spans="1:19">
      <c r="A76" s="78" t="s">
        <v>287</v>
      </c>
      <c r="B76" s="47" t="s">
        <v>101</v>
      </c>
      <c r="C76" s="47" t="s">
        <v>288</v>
      </c>
      <c r="D76" s="47" t="s">
        <v>289</v>
      </c>
      <c r="E76" s="47" t="s">
        <v>290</v>
      </c>
      <c r="F76" s="47">
        <v>1</v>
      </c>
      <c r="G76" s="47">
        <v>2024.11</v>
      </c>
      <c r="H76" s="47">
        <v>18</v>
      </c>
      <c r="I76" s="47">
        <v>1</v>
      </c>
      <c r="J76" s="47" t="s">
        <v>170</v>
      </c>
      <c r="K76" s="40" t="s">
        <v>301</v>
      </c>
      <c r="L76" s="29" t="s">
        <v>302</v>
      </c>
      <c r="M76" s="29" t="s">
        <v>148</v>
      </c>
      <c r="N76" s="29" t="s">
        <v>149</v>
      </c>
      <c r="O76" s="81" t="s">
        <v>57</v>
      </c>
      <c r="P76" s="81" t="s">
        <v>146</v>
      </c>
      <c r="Q76" s="82"/>
      <c r="R76" s="82"/>
      <c r="S76" s="83"/>
    </row>
    <row r="77" s="33" customFormat="1" ht="28.5" hidden="1" spans="1:19">
      <c r="A77" s="78" t="s">
        <v>287</v>
      </c>
      <c r="B77" s="47" t="s">
        <v>101</v>
      </c>
      <c r="C77" s="47" t="s">
        <v>288</v>
      </c>
      <c r="D77" s="47" t="s">
        <v>289</v>
      </c>
      <c r="E77" s="47" t="s">
        <v>290</v>
      </c>
      <c r="F77" s="47">
        <v>1</v>
      </c>
      <c r="G77" s="47">
        <v>2024.11</v>
      </c>
      <c r="H77" s="47">
        <v>18</v>
      </c>
      <c r="I77" s="47">
        <v>1</v>
      </c>
      <c r="J77" s="47" t="s">
        <v>170</v>
      </c>
      <c r="K77" s="40" t="s">
        <v>303</v>
      </c>
      <c r="L77" s="29" t="s">
        <v>304</v>
      </c>
      <c r="M77" s="29" t="s">
        <v>148</v>
      </c>
      <c r="N77" s="29" t="s">
        <v>149</v>
      </c>
      <c r="O77" s="81" t="s">
        <v>57</v>
      </c>
      <c r="P77" s="81" t="s">
        <v>146</v>
      </c>
      <c r="Q77" s="82"/>
      <c r="R77" s="82"/>
      <c r="S77" s="83"/>
    </row>
    <row r="78" s="33" customFormat="1" ht="27" hidden="1" spans="1:19">
      <c r="A78" s="78" t="s">
        <v>287</v>
      </c>
      <c r="B78" s="47" t="s">
        <v>101</v>
      </c>
      <c r="C78" s="47" t="s">
        <v>288</v>
      </c>
      <c r="D78" s="47" t="s">
        <v>289</v>
      </c>
      <c r="E78" s="47" t="s">
        <v>290</v>
      </c>
      <c r="F78" s="47">
        <v>1</v>
      </c>
      <c r="G78" s="47">
        <v>2024.11</v>
      </c>
      <c r="H78" s="47">
        <v>18</v>
      </c>
      <c r="I78" s="47">
        <v>1</v>
      </c>
      <c r="J78" s="47" t="s">
        <v>170</v>
      </c>
      <c r="K78" s="40" t="s">
        <v>305</v>
      </c>
      <c r="L78" s="29" t="s">
        <v>306</v>
      </c>
      <c r="M78" s="29" t="s">
        <v>148</v>
      </c>
      <c r="N78" s="29" t="s">
        <v>149</v>
      </c>
      <c r="O78" s="81" t="s">
        <v>57</v>
      </c>
      <c r="P78" s="81" t="s">
        <v>146</v>
      </c>
      <c r="Q78" s="82"/>
      <c r="R78" s="82"/>
      <c r="S78" s="83"/>
    </row>
    <row r="79" s="33" customFormat="1" ht="27" hidden="1" spans="1:19">
      <c r="A79" s="78" t="s">
        <v>287</v>
      </c>
      <c r="B79" s="47" t="s">
        <v>101</v>
      </c>
      <c r="C79" s="47" t="s">
        <v>288</v>
      </c>
      <c r="D79" s="47" t="s">
        <v>289</v>
      </c>
      <c r="E79" s="47" t="s">
        <v>290</v>
      </c>
      <c r="F79" s="47">
        <v>1</v>
      </c>
      <c r="G79" s="47">
        <v>2024.11</v>
      </c>
      <c r="H79" s="47">
        <v>18</v>
      </c>
      <c r="I79" s="47">
        <v>1</v>
      </c>
      <c r="J79" s="47" t="s">
        <v>170</v>
      </c>
      <c r="K79" s="40" t="s">
        <v>307</v>
      </c>
      <c r="L79" s="29" t="s">
        <v>308</v>
      </c>
      <c r="M79" s="29" t="s">
        <v>148</v>
      </c>
      <c r="N79" s="29" t="s">
        <v>149</v>
      </c>
      <c r="O79" s="81" t="s">
        <v>57</v>
      </c>
      <c r="P79" s="81" t="s">
        <v>146</v>
      </c>
      <c r="Q79" s="82"/>
      <c r="R79" s="82"/>
      <c r="S79" s="83"/>
    </row>
    <row r="80" s="2" customFormat="1" ht="28.5" hidden="1" spans="1:19">
      <c r="A80" s="78" t="s">
        <v>287</v>
      </c>
      <c r="B80" s="47" t="s">
        <v>101</v>
      </c>
      <c r="C80" s="47" t="s">
        <v>288</v>
      </c>
      <c r="D80" s="47" t="s">
        <v>289</v>
      </c>
      <c r="E80" s="47" t="s">
        <v>290</v>
      </c>
      <c r="F80" s="47">
        <v>1</v>
      </c>
      <c r="G80" s="47">
        <v>2024.11</v>
      </c>
      <c r="H80" s="47">
        <v>18</v>
      </c>
      <c r="I80" s="47">
        <v>1</v>
      </c>
      <c r="J80" s="47" t="s">
        <v>170</v>
      </c>
      <c r="K80" s="40" t="s">
        <v>309</v>
      </c>
      <c r="L80" s="29" t="s">
        <v>310</v>
      </c>
      <c r="M80" s="29" t="s">
        <v>148</v>
      </c>
      <c r="N80" s="29" t="s">
        <v>149</v>
      </c>
      <c r="O80" s="81" t="s">
        <v>57</v>
      </c>
      <c r="P80" s="81" t="s">
        <v>146</v>
      </c>
      <c r="Q80" s="32"/>
      <c r="R80" s="32"/>
      <c r="S80" s="40"/>
    </row>
    <row r="81" s="2" customFormat="1" ht="28.5" hidden="1" spans="1:19">
      <c r="A81" s="78" t="s">
        <v>287</v>
      </c>
      <c r="B81" s="47" t="s">
        <v>101</v>
      </c>
      <c r="C81" s="47" t="s">
        <v>288</v>
      </c>
      <c r="D81" s="47" t="s">
        <v>289</v>
      </c>
      <c r="E81" s="47" t="s">
        <v>290</v>
      </c>
      <c r="F81" s="47">
        <v>1</v>
      </c>
      <c r="G81" s="47">
        <v>2024.11</v>
      </c>
      <c r="H81" s="47">
        <v>18</v>
      </c>
      <c r="I81" s="47">
        <v>1</v>
      </c>
      <c r="J81" s="47" t="s">
        <v>170</v>
      </c>
      <c r="K81" s="40" t="s">
        <v>311</v>
      </c>
      <c r="L81" s="29" t="s">
        <v>312</v>
      </c>
      <c r="M81" s="29" t="s">
        <v>148</v>
      </c>
      <c r="N81" s="29" t="s">
        <v>149</v>
      </c>
      <c r="O81" s="81" t="s">
        <v>57</v>
      </c>
      <c r="P81" s="81" t="s">
        <v>146</v>
      </c>
      <c r="Q81" s="32"/>
      <c r="R81" s="32"/>
      <c r="S81" s="40"/>
    </row>
    <row r="82" s="2" customFormat="1" ht="27" hidden="1" spans="1:19">
      <c r="A82" s="78" t="s">
        <v>287</v>
      </c>
      <c r="B82" s="47" t="s">
        <v>101</v>
      </c>
      <c r="C82" s="47" t="s">
        <v>288</v>
      </c>
      <c r="D82" s="47" t="s">
        <v>289</v>
      </c>
      <c r="E82" s="47" t="s">
        <v>290</v>
      </c>
      <c r="F82" s="47">
        <v>1</v>
      </c>
      <c r="G82" s="47">
        <v>2024.11</v>
      </c>
      <c r="H82" s="47">
        <v>18</v>
      </c>
      <c r="I82" s="47">
        <v>1</v>
      </c>
      <c r="J82" s="47" t="s">
        <v>170</v>
      </c>
      <c r="K82" s="40" t="s">
        <v>313</v>
      </c>
      <c r="L82" s="29" t="s">
        <v>314</v>
      </c>
      <c r="M82" s="29" t="s">
        <v>148</v>
      </c>
      <c r="N82" s="29" t="s">
        <v>149</v>
      </c>
      <c r="O82" s="81" t="s">
        <v>57</v>
      </c>
      <c r="P82" s="81" t="s">
        <v>146</v>
      </c>
      <c r="Q82" s="32"/>
      <c r="R82" s="32"/>
      <c r="S82" s="40"/>
    </row>
    <row r="83" s="2" customFormat="1" ht="28.5" hidden="1" spans="1:19">
      <c r="A83" s="78" t="s">
        <v>287</v>
      </c>
      <c r="B83" s="47" t="s">
        <v>101</v>
      </c>
      <c r="C83" s="47" t="s">
        <v>288</v>
      </c>
      <c r="D83" s="47" t="s">
        <v>289</v>
      </c>
      <c r="E83" s="47" t="s">
        <v>290</v>
      </c>
      <c r="F83" s="47">
        <v>1</v>
      </c>
      <c r="G83" s="47">
        <v>2024.11</v>
      </c>
      <c r="H83" s="47">
        <v>18</v>
      </c>
      <c r="I83" s="47">
        <v>1</v>
      </c>
      <c r="J83" s="47" t="s">
        <v>170</v>
      </c>
      <c r="K83" s="40" t="s">
        <v>315</v>
      </c>
      <c r="L83" s="29" t="s">
        <v>316</v>
      </c>
      <c r="M83" s="29" t="s">
        <v>144</v>
      </c>
      <c r="N83" s="29" t="s">
        <v>145</v>
      </c>
      <c r="O83" s="81" t="s">
        <v>57</v>
      </c>
      <c r="P83" s="81" t="s">
        <v>146</v>
      </c>
      <c r="Q83" s="32"/>
      <c r="R83" s="32"/>
      <c r="S83" s="40"/>
    </row>
    <row r="84" s="2" customFormat="1" ht="27" hidden="1" spans="1:19">
      <c r="A84" s="78" t="s">
        <v>287</v>
      </c>
      <c r="B84" s="47" t="s">
        <v>101</v>
      </c>
      <c r="C84" s="47" t="s">
        <v>288</v>
      </c>
      <c r="D84" s="47" t="s">
        <v>289</v>
      </c>
      <c r="E84" s="47" t="s">
        <v>290</v>
      </c>
      <c r="F84" s="47">
        <v>1</v>
      </c>
      <c r="G84" s="47">
        <v>2024.11</v>
      </c>
      <c r="H84" s="47">
        <v>18</v>
      </c>
      <c r="I84" s="47">
        <v>1</v>
      </c>
      <c r="J84" s="47" t="s">
        <v>170</v>
      </c>
      <c r="K84" s="40" t="s">
        <v>317</v>
      </c>
      <c r="L84" s="29" t="s">
        <v>318</v>
      </c>
      <c r="M84" s="29" t="s">
        <v>148</v>
      </c>
      <c r="N84" s="29" t="s">
        <v>149</v>
      </c>
      <c r="O84" s="81" t="s">
        <v>57</v>
      </c>
      <c r="P84" s="81" t="s">
        <v>146</v>
      </c>
      <c r="Q84" s="32"/>
      <c r="R84" s="32"/>
      <c r="S84" s="40"/>
    </row>
    <row r="85" s="2" customFormat="1" ht="27" hidden="1" spans="1:19">
      <c r="A85" s="78" t="s">
        <v>287</v>
      </c>
      <c r="B85" s="47" t="s">
        <v>101</v>
      </c>
      <c r="C85" s="47" t="s">
        <v>288</v>
      </c>
      <c r="D85" s="47" t="s">
        <v>289</v>
      </c>
      <c r="E85" s="47" t="s">
        <v>290</v>
      </c>
      <c r="F85" s="47">
        <v>1</v>
      </c>
      <c r="G85" s="47">
        <v>2024.11</v>
      </c>
      <c r="H85" s="47">
        <v>18</v>
      </c>
      <c r="I85" s="47">
        <v>1</v>
      </c>
      <c r="J85" s="47" t="s">
        <v>170</v>
      </c>
      <c r="K85" s="40" t="s">
        <v>319</v>
      </c>
      <c r="L85" s="29" t="s">
        <v>320</v>
      </c>
      <c r="M85" s="29" t="s">
        <v>148</v>
      </c>
      <c r="N85" s="29" t="s">
        <v>149</v>
      </c>
      <c r="O85" s="81" t="s">
        <v>57</v>
      </c>
      <c r="P85" s="81" t="s">
        <v>146</v>
      </c>
      <c r="Q85" s="32"/>
      <c r="R85" s="32"/>
      <c r="S85" s="40"/>
    </row>
    <row r="86" s="2" customFormat="1" ht="27" hidden="1" spans="1:19">
      <c r="A86" s="78" t="s">
        <v>287</v>
      </c>
      <c r="B86" s="47" t="s">
        <v>101</v>
      </c>
      <c r="C86" s="47" t="s">
        <v>288</v>
      </c>
      <c r="D86" s="47" t="s">
        <v>289</v>
      </c>
      <c r="E86" s="47" t="s">
        <v>290</v>
      </c>
      <c r="F86" s="47">
        <v>1</v>
      </c>
      <c r="G86" s="47">
        <v>2024.11</v>
      </c>
      <c r="H86" s="47">
        <v>18</v>
      </c>
      <c r="I86" s="47">
        <v>1</v>
      </c>
      <c r="J86" s="47" t="s">
        <v>170</v>
      </c>
      <c r="K86" s="40" t="s">
        <v>321</v>
      </c>
      <c r="L86" s="29" t="s">
        <v>322</v>
      </c>
      <c r="M86" s="29" t="s">
        <v>148</v>
      </c>
      <c r="N86" s="29" t="s">
        <v>149</v>
      </c>
      <c r="O86" s="81" t="s">
        <v>57</v>
      </c>
      <c r="P86" s="81" t="s">
        <v>146</v>
      </c>
      <c r="Q86" s="32"/>
      <c r="R86" s="32"/>
      <c r="S86" s="40"/>
    </row>
    <row r="87" s="2" customFormat="1" ht="28.5" hidden="1" spans="1:19">
      <c r="A87" s="78" t="s">
        <v>287</v>
      </c>
      <c r="B87" s="47" t="s">
        <v>101</v>
      </c>
      <c r="C87" s="47" t="s">
        <v>288</v>
      </c>
      <c r="D87" s="47" t="s">
        <v>289</v>
      </c>
      <c r="E87" s="47" t="s">
        <v>290</v>
      </c>
      <c r="F87" s="47">
        <v>1</v>
      </c>
      <c r="G87" s="47">
        <v>2024.11</v>
      </c>
      <c r="H87" s="47">
        <v>18</v>
      </c>
      <c r="I87" s="47">
        <v>1</v>
      </c>
      <c r="J87" s="47" t="s">
        <v>170</v>
      </c>
      <c r="K87" s="40" t="s">
        <v>323</v>
      </c>
      <c r="L87" s="29" t="s">
        <v>324</v>
      </c>
      <c r="M87" s="29" t="s">
        <v>148</v>
      </c>
      <c r="N87" s="29" t="s">
        <v>149</v>
      </c>
      <c r="O87" s="81" t="s">
        <v>57</v>
      </c>
      <c r="P87" s="81" t="s">
        <v>146</v>
      </c>
      <c r="Q87" s="32"/>
      <c r="R87" s="32"/>
      <c r="S87" s="40"/>
    </row>
    <row r="88" s="2" customFormat="1" ht="28.5" hidden="1" spans="1:19">
      <c r="A88" s="78" t="s">
        <v>287</v>
      </c>
      <c r="B88" s="47" t="s">
        <v>101</v>
      </c>
      <c r="C88" s="47" t="s">
        <v>288</v>
      </c>
      <c r="D88" s="47" t="s">
        <v>289</v>
      </c>
      <c r="E88" s="47" t="s">
        <v>290</v>
      </c>
      <c r="F88" s="47">
        <v>1</v>
      </c>
      <c r="G88" s="47">
        <v>2024.11</v>
      </c>
      <c r="H88" s="47">
        <v>18</v>
      </c>
      <c r="I88" s="47">
        <v>1</v>
      </c>
      <c r="J88" s="47" t="s">
        <v>170</v>
      </c>
      <c r="K88" s="40" t="s">
        <v>325</v>
      </c>
      <c r="L88" s="29" t="s">
        <v>326</v>
      </c>
      <c r="M88" s="29" t="s">
        <v>148</v>
      </c>
      <c r="N88" s="29" t="s">
        <v>149</v>
      </c>
      <c r="O88" s="81" t="s">
        <v>57</v>
      </c>
      <c r="P88" s="81" t="s">
        <v>146</v>
      </c>
      <c r="Q88" s="32"/>
      <c r="R88" s="32"/>
      <c r="S88" s="40"/>
    </row>
    <row r="89" s="2" customFormat="1" ht="28.5" hidden="1" spans="1:19">
      <c r="A89" s="78" t="s">
        <v>287</v>
      </c>
      <c r="B89" s="47" t="s">
        <v>101</v>
      </c>
      <c r="C89" s="47" t="s">
        <v>288</v>
      </c>
      <c r="D89" s="47" t="s">
        <v>289</v>
      </c>
      <c r="E89" s="47" t="s">
        <v>290</v>
      </c>
      <c r="F89" s="47">
        <v>1</v>
      </c>
      <c r="G89" s="47">
        <v>2024.11</v>
      </c>
      <c r="H89" s="47">
        <v>18</v>
      </c>
      <c r="I89" s="47">
        <v>1</v>
      </c>
      <c r="J89" s="47" t="s">
        <v>170</v>
      </c>
      <c r="K89" s="40" t="s">
        <v>327</v>
      </c>
      <c r="L89" s="29" t="s">
        <v>328</v>
      </c>
      <c r="M89" s="29" t="s">
        <v>148</v>
      </c>
      <c r="N89" s="29" t="s">
        <v>149</v>
      </c>
      <c r="O89" s="81" t="s">
        <v>57</v>
      </c>
      <c r="P89" s="81" t="s">
        <v>146</v>
      </c>
      <c r="Q89" s="32"/>
      <c r="R89" s="32"/>
      <c r="S89" s="40"/>
    </row>
    <row r="90" s="2" customFormat="1" hidden="1" spans="1:19">
      <c r="A90" s="78" t="s">
        <v>287</v>
      </c>
      <c r="B90" s="79" t="s">
        <v>25</v>
      </c>
      <c r="C90" s="79" t="s">
        <v>288</v>
      </c>
      <c r="D90" s="79" t="s">
        <v>329</v>
      </c>
      <c r="E90" s="79" t="s">
        <v>330</v>
      </c>
      <c r="F90" s="79">
        <v>1</v>
      </c>
      <c r="G90" s="79" t="s">
        <v>119</v>
      </c>
      <c r="H90" s="79">
        <v>30</v>
      </c>
      <c r="I90" s="79">
        <v>1</v>
      </c>
      <c r="J90" s="79" t="s">
        <v>170</v>
      </c>
      <c r="K90" s="40" t="s">
        <v>331</v>
      </c>
      <c r="L90" s="29" t="s">
        <v>332</v>
      </c>
      <c r="M90" s="40" t="s">
        <v>55</v>
      </c>
      <c r="N90" s="40" t="s">
        <v>56</v>
      </c>
      <c r="O90" s="81" t="s">
        <v>57</v>
      </c>
      <c r="P90" s="81" t="s">
        <v>146</v>
      </c>
      <c r="Q90" s="32"/>
      <c r="R90" s="32"/>
      <c r="S90" s="40"/>
    </row>
    <row r="91" s="2" customFormat="1" hidden="1" spans="1:19">
      <c r="A91" s="78" t="s">
        <v>287</v>
      </c>
      <c r="B91" s="79" t="s">
        <v>25</v>
      </c>
      <c r="C91" s="79" t="s">
        <v>288</v>
      </c>
      <c r="D91" s="79" t="s">
        <v>329</v>
      </c>
      <c r="E91" s="79" t="s">
        <v>330</v>
      </c>
      <c r="F91" s="79">
        <v>1</v>
      </c>
      <c r="G91" s="79" t="s">
        <v>119</v>
      </c>
      <c r="H91" s="79">
        <v>30</v>
      </c>
      <c r="I91" s="79">
        <v>1</v>
      </c>
      <c r="J91" s="79" t="s">
        <v>170</v>
      </c>
      <c r="K91" s="40" t="s">
        <v>333</v>
      </c>
      <c r="L91" s="29" t="s">
        <v>334</v>
      </c>
      <c r="M91" s="40" t="s">
        <v>55</v>
      </c>
      <c r="N91" s="40" t="s">
        <v>56</v>
      </c>
      <c r="O91" s="81" t="s">
        <v>57</v>
      </c>
      <c r="P91" s="81" t="s">
        <v>146</v>
      </c>
      <c r="Q91" s="32"/>
      <c r="R91" s="32"/>
      <c r="S91" s="40"/>
    </row>
    <row r="92" s="2" customFormat="1" hidden="1" spans="1:19">
      <c r="A92" s="78" t="s">
        <v>287</v>
      </c>
      <c r="B92" s="79" t="s">
        <v>25</v>
      </c>
      <c r="C92" s="79" t="s">
        <v>288</v>
      </c>
      <c r="D92" s="79" t="s">
        <v>329</v>
      </c>
      <c r="E92" s="79" t="s">
        <v>330</v>
      </c>
      <c r="F92" s="79">
        <v>1</v>
      </c>
      <c r="G92" s="79" t="s">
        <v>119</v>
      </c>
      <c r="H92" s="79">
        <v>30</v>
      </c>
      <c r="I92" s="79">
        <v>1</v>
      </c>
      <c r="J92" s="79" t="s">
        <v>170</v>
      </c>
      <c r="K92" s="40" t="s">
        <v>335</v>
      </c>
      <c r="L92" s="29" t="s">
        <v>336</v>
      </c>
      <c r="M92" s="29" t="s">
        <v>144</v>
      </c>
      <c r="N92" s="29" t="s">
        <v>145</v>
      </c>
      <c r="O92" s="81" t="s">
        <v>57</v>
      </c>
      <c r="P92" s="81" t="s">
        <v>146</v>
      </c>
      <c r="Q92" s="32"/>
      <c r="R92" s="32"/>
      <c r="S92" s="40"/>
    </row>
    <row r="93" s="2" customFormat="1" hidden="1" spans="1:19">
      <c r="A93" s="78" t="s">
        <v>287</v>
      </c>
      <c r="B93" s="79" t="s">
        <v>25</v>
      </c>
      <c r="C93" s="79" t="s">
        <v>288</v>
      </c>
      <c r="D93" s="79" t="s">
        <v>329</v>
      </c>
      <c r="E93" s="79" t="s">
        <v>330</v>
      </c>
      <c r="F93" s="79">
        <v>1</v>
      </c>
      <c r="G93" s="79" t="s">
        <v>119</v>
      </c>
      <c r="H93" s="79">
        <v>30</v>
      </c>
      <c r="I93" s="79">
        <v>1</v>
      </c>
      <c r="J93" s="79" t="s">
        <v>170</v>
      </c>
      <c r="K93" s="40" t="s">
        <v>337</v>
      </c>
      <c r="L93" s="29" t="s">
        <v>338</v>
      </c>
      <c r="M93" s="40" t="s">
        <v>55</v>
      </c>
      <c r="N93" s="40" t="s">
        <v>56</v>
      </c>
      <c r="O93" s="81" t="s">
        <v>57</v>
      </c>
      <c r="P93" s="81" t="s">
        <v>146</v>
      </c>
      <c r="Q93" s="32"/>
      <c r="R93" s="32"/>
      <c r="S93" s="40"/>
    </row>
    <row r="94" s="2" customFormat="1" hidden="1" spans="1:19">
      <c r="A94" s="78" t="s">
        <v>287</v>
      </c>
      <c r="B94" s="79" t="s">
        <v>25</v>
      </c>
      <c r="C94" s="79" t="s">
        <v>288</v>
      </c>
      <c r="D94" s="79" t="s">
        <v>329</v>
      </c>
      <c r="E94" s="79" t="s">
        <v>330</v>
      </c>
      <c r="F94" s="79">
        <v>1</v>
      </c>
      <c r="G94" s="79" t="s">
        <v>119</v>
      </c>
      <c r="H94" s="79">
        <v>30</v>
      </c>
      <c r="I94" s="79">
        <v>1</v>
      </c>
      <c r="J94" s="79" t="s">
        <v>170</v>
      </c>
      <c r="K94" s="40" t="s">
        <v>339</v>
      </c>
      <c r="L94" s="29" t="s">
        <v>340</v>
      </c>
      <c r="M94" s="29" t="s">
        <v>144</v>
      </c>
      <c r="N94" s="29" t="s">
        <v>145</v>
      </c>
      <c r="O94" s="81" t="s">
        <v>57</v>
      </c>
      <c r="P94" s="81" t="s">
        <v>146</v>
      </c>
      <c r="Q94" s="32"/>
      <c r="R94" s="32"/>
      <c r="S94" s="40"/>
    </row>
    <row r="95" s="2" customFormat="1" spans="1:19">
      <c r="A95" s="34" t="s">
        <v>439</v>
      </c>
      <c r="B95" s="34" t="s">
        <v>101</v>
      </c>
      <c r="C95" s="34" t="s">
        <v>440</v>
      </c>
      <c r="D95" s="34" t="s">
        <v>441</v>
      </c>
      <c r="E95" s="34" t="s">
        <v>442</v>
      </c>
      <c r="F95" s="34">
        <v>11</v>
      </c>
      <c r="G95" s="34">
        <v>2025.2</v>
      </c>
      <c r="H95" s="34">
        <v>22</v>
      </c>
      <c r="I95" s="34">
        <v>11</v>
      </c>
      <c r="J95" s="34" t="s">
        <v>443</v>
      </c>
      <c r="K95" s="22" t="s">
        <v>829</v>
      </c>
      <c r="L95" s="22" t="s">
        <v>830</v>
      </c>
      <c r="M95" s="28" t="s">
        <v>211</v>
      </c>
      <c r="N95" s="28" t="s">
        <v>831</v>
      </c>
      <c r="O95" s="34" t="s">
        <v>411</v>
      </c>
      <c r="P95" s="34" t="s">
        <v>372</v>
      </c>
      <c r="Q95" s="27"/>
      <c r="R95" s="27"/>
      <c r="S95" s="28"/>
    </row>
    <row r="96" s="2" customFormat="1" ht="54" spans="1:19">
      <c r="A96" s="34" t="s">
        <v>439</v>
      </c>
      <c r="B96" s="34" t="s">
        <v>101</v>
      </c>
      <c r="C96" s="34" t="s">
        <v>440</v>
      </c>
      <c r="D96" s="34" t="s">
        <v>441</v>
      </c>
      <c r="E96" s="34" t="s">
        <v>442</v>
      </c>
      <c r="F96" s="34">
        <v>11</v>
      </c>
      <c r="G96" s="34">
        <v>2025.2</v>
      </c>
      <c r="H96" s="34">
        <v>22</v>
      </c>
      <c r="I96" s="34">
        <v>11</v>
      </c>
      <c r="J96" s="34" t="s">
        <v>443</v>
      </c>
      <c r="K96" s="22" t="s">
        <v>832</v>
      </c>
      <c r="L96" s="22" t="s">
        <v>833</v>
      </c>
      <c r="M96" s="28" t="s">
        <v>211</v>
      </c>
      <c r="N96" s="28" t="s">
        <v>831</v>
      </c>
      <c r="O96" s="34" t="s">
        <v>411</v>
      </c>
      <c r="P96" s="34" t="s">
        <v>372</v>
      </c>
      <c r="Q96" s="27"/>
      <c r="R96" s="27"/>
      <c r="S96" s="28"/>
    </row>
    <row r="97" s="2" customFormat="1" spans="1:19">
      <c r="A97" s="16"/>
      <c r="C97" s="17"/>
      <c r="D97" s="17"/>
      <c r="G97" s="18"/>
      <c r="K97" s="25"/>
      <c r="L97" s="25"/>
      <c r="M97" s="17"/>
      <c r="N97" s="17"/>
      <c r="O97" s="2"/>
      <c r="P97" s="2"/>
      <c r="Q97" s="2"/>
      <c r="R97" s="2"/>
      <c r="S97" s="17"/>
    </row>
    <row r="98" s="2" customFormat="1" spans="1:19">
      <c r="A98" s="16"/>
      <c r="C98" s="17"/>
      <c r="D98" s="17"/>
      <c r="G98" s="18"/>
      <c r="K98" s="25"/>
      <c r="L98" s="25"/>
      <c r="M98" s="17"/>
      <c r="N98" s="17"/>
      <c r="O98" s="2"/>
      <c r="P98" s="2"/>
      <c r="Q98" s="2"/>
      <c r="R98" s="2"/>
      <c r="S98" s="17"/>
    </row>
    <row r="99" s="2" customFormat="1" spans="1:19">
      <c r="A99" s="16"/>
      <c r="C99" s="17"/>
      <c r="D99" s="17"/>
      <c r="G99" s="18"/>
      <c r="K99" s="25"/>
      <c r="L99" s="25"/>
      <c r="M99" s="17"/>
      <c r="N99" s="17"/>
      <c r="O99" s="2"/>
      <c r="P99" s="2"/>
      <c r="Q99" s="2"/>
      <c r="R99" s="2"/>
      <c r="S99" s="17"/>
    </row>
    <row r="100" s="2" customFormat="1" spans="1:19">
      <c r="A100" s="16"/>
      <c r="C100" s="17"/>
      <c r="D100" s="17"/>
      <c r="G100" s="18"/>
      <c r="K100" s="25"/>
      <c r="L100" s="25"/>
      <c r="M100" s="17"/>
      <c r="N100" s="17"/>
      <c r="O100" s="2"/>
      <c r="P100" s="2"/>
      <c r="Q100" s="2"/>
      <c r="R100" s="2"/>
      <c r="S100" s="17"/>
    </row>
  </sheetData>
  <autoFilter xmlns:etc="http://www.wps.cn/officeDocument/2017/etCustomData" ref="A2:S96" etc:filterBottomFollowUsedRange="0">
    <filterColumn colId="12">
      <filters>
        <filter val="研发"/>
        <filter val="电气、研发"/>
        <filter val="生产、研发、机械设计"/>
      </filters>
    </filterColumn>
    <extLst/>
  </autoFilter>
  <mergeCells count="8">
    <mergeCell ref="A1:S1"/>
    <mergeCell ref="B67:J67"/>
    <mergeCell ref="D5:D6"/>
    <mergeCell ref="E5:E6"/>
    <mergeCell ref="F5:F6"/>
    <mergeCell ref="G5:G6"/>
    <mergeCell ref="H5:H6"/>
    <mergeCell ref="I5:I6"/>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
  <sheetViews>
    <sheetView workbookViewId="0">
      <pane xSplit="1" ySplit="2" topLeftCell="B3" activePane="bottomRight" state="frozen"/>
      <selection/>
      <selection pane="topRight"/>
      <selection pane="bottomLeft"/>
      <selection pane="bottomRight" activeCell="A1" sqref="A1:S1"/>
    </sheetView>
  </sheetViews>
  <sheetFormatPr defaultColWidth="11" defaultRowHeight="14.25" outlineLevelRow="5"/>
  <cols>
    <col min="1" max="1" width="11" style="1"/>
    <col min="2" max="2" width="11" style="3"/>
    <col min="3" max="3" width="11" style="4"/>
    <col min="4" max="4" width="21.2166666666667" style="4" customWidth="1"/>
    <col min="5" max="5" width="14.1666666666667" style="3" customWidth="1"/>
    <col min="6" max="6" width="11" style="3"/>
    <col min="7" max="7" width="14.5" style="5"/>
    <col min="8" max="8" width="11.2083333333333" style="3"/>
    <col min="9" max="10" width="11" style="3"/>
    <col min="11" max="11" width="31.6416666666667" style="6" customWidth="1"/>
    <col min="12" max="12" width="40.6416666666667" style="6" customWidth="1"/>
    <col min="13" max="14" width="9.1" style="4"/>
    <col min="15" max="15" width="15" style="3" customWidth="1"/>
    <col min="16" max="16" width="10.6416666666667" style="3" customWidth="1"/>
    <col min="17" max="18" width="9.1" style="3"/>
    <col min="19" max="19" width="17.425" style="4" customWidth="1"/>
    <col min="20" max="16384" width="11" style="3"/>
  </cols>
  <sheetData>
    <row r="1" s="1" customFormat="1" ht="31.5" spans="1:19">
      <c r="A1" s="7" t="s">
        <v>350</v>
      </c>
      <c r="B1" s="8"/>
      <c r="C1" s="9"/>
      <c r="D1" s="9"/>
      <c r="E1" s="8"/>
      <c r="F1" s="8"/>
      <c r="G1" s="10"/>
      <c r="H1" s="8"/>
      <c r="I1" s="8"/>
      <c r="J1" s="8"/>
      <c r="K1" s="19"/>
      <c r="L1" s="19"/>
      <c r="M1" s="8"/>
      <c r="N1" s="8"/>
      <c r="O1" s="8"/>
      <c r="P1" s="8"/>
      <c r="Q1" s="8"/>
      <c r="R1" s="8"/>
      <c r="S1" s="26"/>
    </row>
    <row r="2" s="1" customFormat="1" ht="42.75" spans="1:19">
      <c r="A2" s="11" t="s">
        <v>1</v>
      </c>
      <c r="B2" s="12" t="s">
        <v>2</v>
      </c>
      <c r="C2" s="12" t="s">
        <v>3</v>
      </c>
      <c r="D2" s="13" t="s">
        <v>4</v>
      </c>
      <c r="E2" s="11" t="s">
        <v>5</v>
      </c>
      <c r="F2" s="12" t="s">
        <v>6</v>
      </c>
      <c r="G2" s="13" t="s">
        <v>11</v>
      </c>
      <c r="H2" s="12" t="s">
        <v>12</v>
      </c>
      <c r="I2" s="12" t="s">
        <v>13</v>
      </c>
      <c r="J2" s="12" t="s">
        <v>14</v>
      </c>
      <c r="K2" s="20" t="s">
        <v>15</v>
      </c>
      <c r="L2" s="20" t="s">
        <v>16</v>
      </c>
      <c r="M2" s="20" t="s">
        <v>17</v>
      </c>
      <c r="N2" s="20" t="s">
        <v>18</v>
      </c>
      <c r="O2" s="20" t="s">
        <v>19</v>
      </c>
      <c r="P2" s="20" t="s">
        <v>20</v>
      </c>
      <c r="Q2" s="20" t="s">
        <v>21</v>
      </c>
      <c r="R2" s="20" t="s">
        <v>22</v>
      </c>
      <c r="S2" s="20" t="s">
        <v>23</v>
      </c>
    </row>
    <row r="3" s="2" customFormat="1" ht="40.5" spans="1:19">
      <c r="A3" s="21" t="s">
        <v>122</v>
      </c>
      <c r="B3" s="21" t="s">
        <v>25</v>
      </c>
      <c r="C3" s="21" t="s">
        <v>351</v>
      </c>
      <c r="D3" s="21" t="s">
        <v>352</v>
      </c>
      <c r="E3" s="21" t="s">
        <v>353</v>
      </c>
      <c r="F3" s="21">
        <v>1</v>
      </c>
      <c r="G3" s="21" t="s">
        <v>354</v>
      </c>
      <c r="H3" s="21"/>
      <c r="I3" s="21">
        <v>1</v>
      </c>
      <c r="J3" s="21" t="s">
        <v>170</v>
      </c>
      <c r="K3" s="29" t="s">
        <v>834</v>
      </c>
      <c r="L3" s="29" t="s">
        <v>835</v>
      </c>
      <c r="M3" s="30" t="s">
        <v>262</v>
      </c>
      <c r="N3" s="30" t="s">
        <v>836</v>
      </c>
      <c r="O3" s="24" t="s">
        <v>357</v>
      </c>
      <c r="P3" s="24" t="s">
        <v>358</v>
      </c>
      <c r="Q3" s="31"/>
      <c r="R3" s="31"/>
      <c r="S3" s="30"/>
    </row>
    <row r="4" s="2" customFormat="1" spans="1:19">
      <c r="A4" s="16"/>
      <c r="C4" s="17"/>
      <c r="D4" s="17"/>
      <c r="G4" s="18"/>
      <c r="K4" s="25"/>
      <c r="L4" s="25"/>
      <c r="M4" s="17"/>
      <c r="N4" s="17"/>
      <c r="S4" s="17"/>
    </row>
    <row r="5" s="2" customFormat="1" spans="1:19">
      <c r="A5" s="16"/>
      <c r="C5" s="17"/>
      <c r="D5" s="17"/>
      <c r="G5" s="18"/>
      <c r="K5" s="25"/>
      <c r="L5" s="25"/>
      <c r="M5" s="17"/>
      <c r="N5" s="17"/>
      <c r="S5" s="17"/>
    </row>
    <row r="6" s="2" customFormat="1" spans="1:19">
      <c r="A6" s="16"/>
      <c r="C6" s="17"/>
      <c r="D6" s="17"/>
      <c r="G6" s="18"/>
      <c r="K6" s="25"/>
      <c r="L6" s="25"/>
      <c r="M6" s="17"/>
      <c r="N6" s="17"/>
      <c r="S6" s="17"/>
    </row>
  </sheetData>
  <mergeCells count="1">
    <mergeCell ref="A1:S1"/>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
  <sheetViews>
    <sheetView workbookViewId="0">
      <pane xSplit="1" ySplit="2" topLeftCell="B3" activePane="bottomRight" state="frozen"/>
      <selection/>
      <selection pane="topRight"/>
      <selection pane="bottomLeft"/>
      <selection pane="bottomRight" activeCell="A1" sqref="A1:S1"/>
    </sheetView>
  </sheetViews>
  <sheetFormatPr defaultColWidth="11" defaultRowHeight="14.25" outlineLevelRow="5"/>
  <cols>
    <col min="1" max="1" width="11" style="1"/>
    <col min="2" max="2" width="11" style="3"/>
    <col min="3" max="3" width="11" style="4"/>
    <col min="4" max="4" width="21.2166666666667" style="4" customWidth="1"/>
    <col min="5" max="5" width="14.1666666666667" style="3" customWidth="1"/>
    <col min="6" max="6" width="11" style="3"/>
    <col min="7" max="7" width="14.5" style="5"/>
    <col min="8" max="8" width="11.2083333333333" style="3"/>
    <col min="9" max="10" width="11" style="3"/>
    <col min="11" max="11" width="31.6416666666667" style="6" customWidth="1"/>
    <col min="12" max="12" width="40.6416666666667" style="6" customWidth="1"/>
    <col min="13" max="14" width="9.1" style="4"/>
    <col min="15" max="15" width="15" style="3" customWidth="1"/>
    <col min="16" max="16" width="10.6416666666667" style="3" customWidth="1"/>
    <col min="17" max="18" width="9.1" style="3"/>
    <col min="19" max="19" width="17.425" style="4" customWidth="1"/>
    <col min="20" max="16384" width="11" style="3"/>
  </cols>
  <sheetData>
    <row r="1" s="1" customFormat="1" ht="31.5" spans="1:19">
      <c r="A1" s="7" t="s">
        <v>350</v>
      </c>
      <c r="B1" s="8"/>
      <c r="C1" s="9"/>
      <c r="D1" s="9"/>
      <c r="E1" s="8"/>
      <c r="F1" s="8"/>
      <c r="G1" s="10"/>
      <c r="H1" s="8"/>
      <c r="I1" s="8"/>
      <c r="J1" s="8"/>
      <c r="K1" s="19"/>
      <c r="L1" s="19"/>
      <c r="M1" s="8"/>
      <c r="N1" s="8"/>
      <c r="O1" s="8"/>
      <c r="P1" s="8"/>
      <c r="Q1" s="8"/>
      <c r="R1" s="8"/>
      <c r="S1" s="26"/>
    </row>
    <row r="2" s="1" customFormat="1" ht="42.75" spans="1:19">
      <c r="A2" s="11" t="s">
        <v>1</v>
      </c>
      <c r="B2" s="12" t="s">
        <v>2</v>
      </c>
      <c r="C2" s="12" t="s">
        <v>3</v>
      </c>
      <c r="D2" s="13" t="s">
        <v>4</v>
      </c>
      <c r="E2" s="11" t="s">
        <v>5</v>
      </c>
      <c r="F2" s="12" t="s">
        <v>6</v>
      </c>
      <c r="G2" s="13" t="s">
        <v>11</v>
      </c>
      <c r="H2" s="12" t="s">
        <v>12</v>
      </c>
      <c r="I2" s="12" t="s">
        <v>13</v>
      </c>
      <c r="J2" s="12" t="s">
        <v>14</v>
      </c>
      <c r="K2" s="20" t="s">
        <v>15</v>
      </c>
      <c r="L2" s="20" t="s">
        <v>16</v>
      </c>
      <c r="M2" s="20" t="s">
        <v>17</v>
      </c>
      <c r="N2" s="20" t="s">
        <v>18</v>
      </c>
      <c r="O2" s="20" t="s">
        <v>19</v>
      </c>
      <c r="P2" s="20" t="s">
        <v>20</v>
      </c>
      <c r="Q2" s="20" t="s">
        <v>21</v>
      </c>
      <c r="R2" s="20" t="s">
        <v>22</v>
      </c>
      <c r="S2" s="20" t="s">
        <v>23</v>
      </c>
    </row>
    <row r="3" s="2" customFormat="1" ht="22" customHeight="1" spans="1:19">
      <c r="A3" s="14" t="s">
        <v>47</v>
      </c>
      <c r="B3" s="14" t="s">
        <v>25</v>
      </c>
      <c r="C3" s="14" t="s">
        <v>48</v>
      </c>
      <c r="D3" s="15" t="s">
        <v>447</v>
      </c>
      <c r="E3" s="15" t="s">
        <v>468</v>
      </c>
      <c r="F3" s="15">
        <v>1</v>
      </c>
      <c r="G3" s="15">
        <v>2025.3</v>
      </c>
      <c r="H3" s="15">
        <v>21</v>
      </c>
      <c r="I3" s="15">
        <v>1</v>
      </c>
      <c r="J3" s="21" t="s">
        <v>52</v>
      </c>
      <c r="K3" s="22" t="s">
        <v>837</v>
      </c>
      <c r="L3" s="22" t="s">
        <v>838</v>
      </c>
      <c r="M3" s="23" t="s">
        <v>348</v>
      </c>
      <c r="N3" s="23" t="s">
        <v>839</v>
      </c>
      <c r="O3" s="24" t="s">
        <v>365</v>
      </c>
      <c r="P3" s="24" t="s">
        <v>372</v>
      </c>
      <c r="Q3" s="27"/>
      <c r="R3" s="27"/>
      <c r="S3" s="28"/>
    </row>
    <row r="4" s="2" customFormat="1" spans="1:19">
      <c r="A4" s="16"/>
      <c r="C4" s="17"/>
      <c r="D4" s="17"/>
      <c r="G4" s="18"/>
      <c r="K4" s="25"/>
      <c r="L4" s="25"/>
      <c r="M4" s="17"/>
      <c r="N4" s="17"/>
      <c r="S4" s="17"/>
    </row>
    <row r="5" s="2" customFormat="1" spans="1:19">
      <c r="A5" s="16"/>
      <c r="C5" s="17"/>
      <c r="D5" s="17"/>
      <c r="G5" s="18"/>
      <c r="K5" s="25"/>
      <c r="L5" s="25"/>
      <c r="M5" s="17"/>
      <c r="N5" s="17"/>
      <c r="S5" s="17"/>
    </row>
    <row r="6" s="2" customFormat="1" spans="1:19">
      <c r="A6" s="16"/>
      <c r="C6" s="17"/>
      <c r="D6" s="17"/>
      <c r="G6" s="18"/>
      <c r="K6" s="25"/>
      <c r="L6" s="25"/>
      <c r="M6" s="17"/>
      <c r="N6" s="17"/>
      <c r="S6" s="17"/>
    </row>
  </sheetData>
  <mergeCells count="1">
    <mergeCell ref="A1:S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11</vt:i4>
      </vt:variant>
    </vt:vector>
  </HeadingPairs>
  <TitlesOfParts>
    <vt:vector size="11" baseType="lpstr">
      <vt:lpstr>客服现场跟进设备问题分析</vt:lpstr>
      <vt:lpstr>汇总</vt:lpstr>
      <vt:lpstr>客户</vt:lpstr>
      <vt:lpstr>采购</vt:lpstr>
      <vt:lpstr>生产</vt:lpstr>
      <vt:lpstr>电气</vt:lpstr>
      <vt:lpstr>测试</vt:lpstr>
      <vt:lpstr>机械</vt:lpstr>
      <vt:lpstr>研发</vt:lpstr>
      <vt:lpstr>销售</vt:lpstr>
      <vt:lpstr>PMC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yixing_luo@163.com</dc:creator>
  <cp:lastModifiedBy>Q房网 梁丽萍 15914689720</cp:lastModifiedBy>
  <dcterms:created xsi:type="dcterms:W3CDTF">2024-03-01T22:46:00Z</dcterms:created>
  <dcterms:modified xsi:type="dcterms:W3CDTF">2025-07-16T08:50:57Z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344C613F25FA48BFB19651EAD57A5478_13</vt:lpwstr>
  </property>
  <property fmtid="{D5CDD505-2E9C-101B-9397-08002B2CF9AE}" pid="3" name="KSOProductBuildVer">
    <vt:lpwstr>2052-12.1.0.21915</vt:lpwstr>
  </property>
</Properties>
</file>