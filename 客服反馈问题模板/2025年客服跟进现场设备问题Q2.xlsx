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tabRatio="584" activeTab="1"/>
  </bookViews>
  <sheets>
    <sheet name="客服现场跟进设备问题分析" sheetId="1" r:id="rId1"/>
    <sheet name="汇总" sheetId="5" r:id="rId2"/>
    <sheet name="客户" sheetId="4" r:id="rId3"/>
    <sheet name="采购" sheetId="6" r:id="rId4"/>
    <sheet name="生产" sheetId="7" r:id="rId5"/>
    <sheet name="电气" sheetId="8" r:id="rId6"/>
    <sheet name="测试" sheetId="9" r:id="rId7"/>
    <sheet name="机械" sheetId="10" r:id="rId8"/>
    <sheet name="PMC" sheetId="11" r:id="rId9"/>
    <sheet name="销售" sheetId="13" r:id="rId10"/>
    <sheet name="研发" sheetId="14" r:id="rId11"/>
  </sheets>
  <definedNames>
    <definedName name="_xlnm._FilterDatabase" localSheetId="2" hidden="1">客户!$A$2:$S$116</definedName>
    <definedName name="_xlnm._FilterDatabase" localSheetId="3" hidden="1">采购!$A$2:$S$145</definedName>
    <definedName name="_xlnm._FilterDatabase" localSheetId="4" hidden="1">生产!$A$2:$S$146</definedName>
    <definedName name="_xlnm._FilterDatabase" localSheetId="5" hidden="1">电气!$A$2:$S$150</definedName>
    <definedName name="_xlnm._FilterDatabase" localSheetId="6" hidden="1">测试!$A$2:$S$159</definedName>
    <definedName name="_xlnm._FilterDatabase" localSheetId="7" hidden="1">机械!$A$2:$S$135</definedName>
    <definedName name="_xlnm._FilterDatabase" localSheetId="8" hidden="1">PMC!$A$2:$S$6</definedName>
    <definedName name="_xlnm._FilterDatabase" localSheetId="9" hidden="1">销售!$A$2:$S$4</definedName>
    <definedName name="_xlnm._FilterDatabase" localSheetId="10" hidden="1">研发!$A$2:$S$4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G3" authorId="0">
      <text>
        <r>
          <rPr>
            <sz val="9"/>
            <rFont val="宋体"/>
            <charset val="134"/>
          </rPr>
          <t xml:space="preserve">问题点总数/项目量数*100%
</t>
        </r>
      </text>
    </comment>
    <comment ref="H3" authorId="0">
      <text>
        <r>
          <rPr>
            <sz val="9"/>
            <rFont val="宋体"/>
            <charset val="134"/>
          </rPr>
          <t>问题点总数/设备台数*100%</t>
        </r>
      </text>
    </comment>
  </commentList>
</comments>
</file>

<file path=xl/sharedStrings.xml><?xml version="1.0" encoding="utf-8"?>
<sst xmlns="http://schemas.openxmlformats.org/spreadsheetml/2006/main" count="10952" uniqueCount="1035">
  <si>
    <t>2025年4月客服跟进现场设备问题分析统计</t>
  </si>
  <si>
    <t>人员</t>
  </si>
  <si>
    <t>设备类型</t>
  </si>
  <si>
    <t>客户名称</t>
  </si>
  <si>
    <t>项目名称/型号</t>
  </si>
  <si>
    <t>项目号</t>
  </si>
  <si>
    <t>数量（套）</t>
  </si>
  <si>
    <t>实际交货时间（月）</t>
  </si>
  <si>
    <t>实际交货时间（日）</t>
  </si>
  <si>
    <t>实发数量</t>
  </si>
  <si>
    <t>行业类型</t>
  </si>
  <si>
    <t>现场异常描述</t>
  </si>
  <si>
    <t>处理效果及图片</t>
  </si>
  <si>
    <t>部门归属</t>
  </si>
  <si>
    <t>责任人</t>
  </si>
  <si>
    <t>跟进起始日期（起）</t>
  </si>
  <si>
    <t>跟进起始日期（止）</t>
  </si>
  <si>
    <t>预计完成交付时间</t>
  </si>
  <si>
    <t>实际交付时间</t>
  </si>
  <si>
    <t>未按期交付原因分类</t>
  </si>
  <si>
    <t>王志红</t>
  </si>
  <si>
    <t>线体</t>
  </si>
  <si>
    <t>重庆海尔</t>
  </si>
  <si>
    <t>重庆空调电脑板自动化DIP线设备</t>
  </si>
  <si>
    <t>PJ240806729</t>
  </si>
  <si>
    <t>白色家电</t>
  </si>
  <si>
    <t>3线点胶涂覆段回流线皮带出现严重磨损，整体皮带线跑歪</t>
  </si>
  <si>
    <t>美工刀切割平整、设计增加了导向块进行导向后正常</t>
  </si>
  <si>
    <t>生产</t>
  </si>
  <si>
    <t>方康敬</t>
  </si>
  <si>
    <t>2025.3.28</t>
  </si>
  <si>
    <t>2025.3.31</t>
  </si>
  <si>
    <t>3号线回流线中间接驳段卡载具。</t>
  </si>
  <si>
    <t>部分增加螺丝可固定住，整体未和机台串联做固定，线体作业人员踩踏导致偏移造成此现象：</t>
  </si>
  <si>
    <t>载具回流斜坡工装焊点脱落</t>
  </si>
  <si>
    <t>已就近现场找人焊接并在挡边下口增加焊接3-4个90度角加强筋，焊接后可以保证不在出现脱落挡边的现象：</t>
  </si>
  <si>
    <t>机械设计</t>
  </si>
  <si>
    <t>张丙波、</t>
  </si>
  <si>
    <t>包装线上面承载离子风机较重轻微倚靠会造成晃动</t>
  </si>
  <si>
    <t>底部增加型材拉杆固定、增加牢固稳定性完成；</t>
  </si>
  <si>
    <t>测试段皮带线跑偏</t>
  </si>
  <si>
    <t>型材支架结构体不合理，增加固定件；增加皮带导向块后正常</t>
  </si>
  <si>
    <t>3线离线FCT工控机蓝屏</t>
  </si>
  <si>
    <t>蓝屏导致系统崩溃，重装系统后还是会出现蓝屏的现象，联系工控供应商检查未内存不兼容，更换金士顿内存后没有再出现蓝屏的现象，还需继续观察。</t>
  </si>
  <si>
    <t>采购</t>
  </si>
  <si>
    <t>金希倩</t>
  </si>
  <si>
    <t>涂覆机抽风机频繁故障，造成设备无法运行</t>
  </si>
  <si>
    <t>涂覆机自身喷雾胶水范围广容易造成抽风滤网堵塞烧坏电机，拆卸电机改用厂房抽风系统，安装不锈钢可折叠风管替代。</t>
  </si>
  <si>
    <t>3线点胶机泵和点胶阀频繁故障</t>
  </si>
  <si>
    <t>点胶阀密封圈容易磨损，点胶泵上口阻挡密封圈的螺盖确实导致溢胶，更换增加配件后正常</t>
  </si>
  <si>
    <t>1线ICT不良回流皮带线卡板异常</t>
  </si>
  <si>
    <t>优化PLC控制逻辑后正常。</t>
  </si>
  <si>
    <t>电气</t>
  </si>
  <si>
    <t>杨帮</t>
  </si>
  <si>
    <t>2线翻版机卡顿，翻转位置不准确（卓一）</t>
  </si>
  <si>
    <t>重新下载控制软件、拆卸电机检查正常，重新安装回去调整链条张力后正常。</t>
  </si>
  <si>
    <t>1线分板机治具设计不合理，无法实现分板</t>
  </si>
  <si>
    <t>已重新设计一款691治具、无法通用其它型号产品，待产线量产时验证：</t>
  </si>
  <si>
    <t>2、3线盖板和底部载具有偏差且无法定位准确</t>
  </si>
  <si>
    <t>已重新设计制作定位销及支撑，待安装验证。</t>
  </si>
  <si>
    <t>包装线皮带停线后再开会跑偏</t>
  </si>
  <si>
    <t>包装段有补胶会滴落在皮带上，两侧斜坡支撑的方通会造成皮带粘连，需要增加滚轮提高该位置皮带距离避免粘连导致偏移</t>
  </si>
  <si>
    <t>林潇伟</t>
  </si>
  <si>
    <t>单机</t>
  </si>
  <si>
    <t>TTi</t>
  </si>
  <si>
    <t>EOL成品性能测试机</t>
  </si>
  <si>
    <t>PJ240509589</t>
  </si>
  <si>
    <t>新能源</t>
  </si>
  <si>
    <t>客户反馈备品插仔内部线路焊接脱落导致产品测试不良</t>
  </si>
  <si>
    <t>插仔PCB板上铁片有镀膜导致焊接不牢固，从新清理镀膜层焊接恢复正常生产</t>
  </si>
  <si>
    <t>测试</t>
  </si>
  <si>
    <t>于振华</t>
  </si>
  <si>
    <t>2025.4.1</t>
  </si>
  <si>
    <t>2025.4.30</t>
  </si>
  <si>
    <t>工位2功率分析仪通讯掉线严重，此前工位3功率分析仪存在同样问题，更换功率分析仪方口通讯线后未再发生此现象</t>
  </si>
  <si>
    <t>反馈刘伟下单采购两根方口通讯线更换功率分析仪通讯线</t>
  </si>
  <si>
    <t>Gang Box 成品功率测试机</t>
  </si>
  <si>
    <t>PJ240509590</t>
  </si>
  <si>
    <t>黄工反馈新增日光灯常亮功能后测试产品光源读取NG较为频繁，经实验发现产品固定块表面太过光滑导致相机拍照反光从而出现数值不稳定NG</t>
  </si>
  <si>
    <t>产品固定块使用铁氟龙覆盖后无此现象</t>
  </si>
  <si>
    <t>018859 角度测试机</t>
  </si>
  <si>
    <t>PJ240517598</t>
  </si>
  <si>
    <t>生产出现一个产品无法通讯现象</t>
  </si>
  <si>
    <t>经排查为客户产品问题，产品内部通讯模块更换后正常通讯</t>
  </si>
  <si>
    <t>客户</t>
  </si>
  <si>
    <t>平衡测试机</t>
  </si>
  <si>
    <t xml:space="preserve"> PJ250114961</t>
  </si>
  <si>
    <t>新到磁铁座牙孔与设备孔距不匹配图纸标注22.29实物19.8</t>
  </si>
  <si>
    <t>加工扩孔安装</t>
  </si>
  <si>
    <t>991006332-M18 Forge HO XC 电芯极性检测夹具（D类）FK130571-JP40-03-003(含压力传感器）</t>
  </si>
  <si>
    <t>PJ240403508</t>
  </si>
  <si>
    <t>压力传感器更换旧款显示器后生产依旧有出现卡屏现象，此前显示外壳与设备机架怀疑有脉冲导致卡屏白屏，新增显示外壳与设备机架接地无白屏偶尔出现卡屏</t>
  </si>
  <si>
    <t>待供应商改善</t>
  </si>
  <si>
    <t>991006322-018859测试夹具FD859-51A-01 （D类）</t>
  </si>
  <si>
    <t>PJ250320069</t>
  </si>
  <si>
    <t>四个夹具入库
夹具产品支撑架方向做反，</t>
  </si>
  <si>
    <t>反馈工程师联系供应商重做</t>
  </si>
  <si>
    <t>机械设计、采购</t>
  </si>
  <si>
    <t>张丙波、金希倩</t>
  </si>
  <si>
    <t>M12-M18 MBSC 成品功率测试设备                         EOL功能测试机</t>
  </si>
  <si>
    <t>PJ250121006  PJ250121007</t>
  </si>
  <si>
    <t>1           1</t>
  </si>
  <si>
    <t>问题点统计
1:功率机缺少两组门禁接近开关未接！
2:两台机缺少作业指导书挂杆未装！
3:两台机左右工位产品防呆检测感应器检测不到产品全部需要更换型号(货未到)！
4:功率机缺少日光灯一个！
5:两台机安全光栅密度为20mm全部需要更换10mm密度光栅！
6:两台机产品测试插头未装(货未到)</t>
  </si>
  <si>
    <t>功能测试机插头安装完成，动作调试完成，待测试验证</t>
  </si>
  <si>
    <t>产品测试验证负载无法拉高</t>
  </si>
  <si>
    <r>
      <rPr>
        <sz val="11"/>
        <color rgb="FF000000"/>
        <rFont val="宋体"/>
        <charset val="134"/>
      </rPr>
      <t>产品有快充功能导致负载测试无法拉高，预计大改动</t>
    </r>
    <r>
      <rPr>
        <sz val="11"/>
        <color rgb="FF000000"/>
        <rFont val="宋体"/>
        <charset val="134"/>
      </rPr>
      <t xml:space="preserve">
</t>
    </r>
    <r>
      <rPr>
        <sz val="11"/>
        <color rgb="FF000000"/>
        <rFont val="宋体"/>
        <charset val="134"/>
      </rPr>
      <t>产品防呆检测感应器更换完成</t>
    </r>
    <r>
      <rPr>
        <sz val="11"/>
        <color rgb="FF000000"/>
        <rFont val="宋体"/>
        <charset val="134"/>
      </rPr>
      <t xml:space="preserve">
</t>
    </r>
    <r>
      <rPr>
        <sz val="11"/>
        <color rgb="FF000000"/>
        <rFont val="宋体"/>
        <charset val="134"/>
      </rPr>
      <t>产品测试插头安装调试完成，欠缺两根插针</t>
    </r>
  </si>
  <si>
    <r>
      <rPr>
        <sz val="11"/>
        <color rgb="FF000000"/>
        <rFont val="宋体"/>
        <charset val="134"/>
      </rPr>
      <t>1:两台设备所有仪器未按客户要求贴资产编号</t>
    </r>
    <r>
      <rPr>
        <sz val="11"/>
        <color rgb="FF000000"/>
        <rFont val="宋体"/>
        <charset val="134"/>
      </rPr>
      <t xml:space="preserve">
</t>
    </r>
    <r>
      <rPr>
        <sz val="11"/>
        <color rgb="FF000000"/>
        <rFont val="宋体"/>
        <charset val="134"/>
      </rPr>
      <t>2:测试板电阻为10k欧需求为931欧</t>
    </r>
    <r>
      <rPr>
        <sz val="11"/>
        <color rgb="FF000000"/>
        <rFont val="宋体"/>
        <charset val="134"/>
      </rPr>
      <t xml:space="preserve">
</t>
    </r>
    <r>
      <rPr>
        <sz val="11"/>
        <color rgb="FF000000"/>
        <rFont val="宋体"/>
        <charset val="134"/>
      </rPr>
      <t>3:门禁缺少两组接近开关</t>
    </r>
    <r>
      <rPr>
        <sz val="11"/>
        <color rgb="FF000000"/>
        <rFont val="宋体"/>
        <charset val="134"/>
      </rPr>
      <t xml:space="preserve"> </t>
    </r>
  </si>
  <si>
    <r>
      <rPr>
        <sz val="11"/>
        <color rgb="FF000000"/>
        <rFont val="宋体"/>
        <charset val="134"/>
      </rPr>
      <t>1:所有仪器贴明显资产标识</t>
    </r>
    <r>
      <rPr>
        <sz val="11"/>
        <color rgb="FF000000"/>
        <rFont val="宋体"/>
        <charset val="134"/>
      </rPr>
      <t xml:space="preserve">
</t>
    </r>
    <r>
      <rPr>
        <sz val="11"/>
        <color rgb="FF000000"/>
        <rFont val="宋体"/>
        <charset val="134"/>
      </rPr>
      <t>2:反馈采购下单931欧电阻</t>
    </r>
    <r>
      <rPr>
        <sz val="11"/>
        <color rgb="FF000000"/>
        <rFont val="宋体"/>
        <charset val="134"/>
      </rPr>
      <t xml:space="preserve">
</t>
    </r>
    <r>
      <rPr>
        <sz val="11"/>
        <color rgb="FF000000"/>
        <rFont val="宋体"/>
        <charset val="134"/>
      </rPr>
      <t>3:门禁接近开关安装</t>
    </r>
    <r>
      <rPr>
        <sz val="11"/>
        <color rgb="FF000000"/>
        <rFont val="宋体"/>
        <charset val="134"/>
      </rPr>
      <t xml:space="preserve">
</t>
    </r>
    <r>
      <rPr>
        <sz val="11"/>
        <color rgb="FF000000"/>
        <rFont val="宋体"/>
        <charset val="134"/>
      </rPr>
      <t>4:功率测试机基本改造完成验证可行性，待与客户确认落实</t>
    </r>
  </si>
  <si>
    <t>生产、采购、电气</t>
  </si>
  <si>
    <t>方康敬、代亚平、李学伟</t>
  </si>
  <si>
    <r>
      <rPr>
        <sz val="11"/>
        <color rgb="FF000000"/>
        <rFont val="宋体"/>
        <charset val="134"/>
      </rPr>
      <t>1:设备总功率约10kw电源插头欧式插头最大13A，瞬时电压过高导致频繁烧损保险丝！</t>
    </r>
    <r>
      <rPr>
        <sz val="11"/>
        <color rgb="FF000000"/>
        <rFont val="宋体"/>
        <charset val="134"/>
      </rPr>
      <t xml:space="preserve">
</t>
    </r>
    <r>
      <rPr>
        <sz val="11"/>
        <color rgb="FF000000"/>
        <rFont val="宋体"/>
        <charset val="134"/>
      </rPr>
      <t>2:测试板电阻为10k欧需求为931欧</t>
    </r>
    <r>
      <rPr>
        <sz val="11"/>
        <color rgb="FF000000"/>
        <rFont val="宋体"/>
        <charset val="134"/>
      </rPr>
      <t xml:space="preserve">
</t>
    </r>
    <r>
      <rPr>
        <sz val="11"/>
        <color rgb="FF000000"/>
        <rFont val="宋体"/>
        <charset val="134"/>
      </rPr>
      <t>3:客户产品差异较大插仔有接触不良现象！</t>
    </r>
  </si>
  <si>
    <r>
      <rPr>
        <sz val="11"/>
        <color rgb="FF000000"/>
        <rFont val="宋体"/>
        <charset val="134"/>
      </rPr>
      <t>1:临时措施拆除插头保险丝直接焊接导通使用，反馈工程师采购20A以上插头</t>
    </r>
    <r>
      <rPr>
        <sz val="11"/>
        <color rgb="FF000000"/>
        <rFont val="宋体"/>
        <charset val="134"/>
      </rPr>
      <t xml:space="preserve">
</t>
    </r>
    <r>
      <rPr>
        <sz val="11"/>
        <color rgb="FF000000"/>
        <rFont val="宋体"/>
        <charset val="134"/>
      </rPr>
      <t>2:临时使用三个309k电阻拼接使用，待931电阻到货后更换！</t>
    </r>
    <r>
      <rPr>
        <sz val="11"/>
        <color rgb="FF000000"/>
        <rFont val="宋体"/>
        <charset val="134"/>
      </rPr>
      <t xml:space="preserve">
</t>
    </r>
    <r>
      <rPr>
        <sz val="11"/>
        <color rgb="FF000000"/>
        <rFont val="宋体"/>
        <charset val="134"/>
      </rPr>
      <t>3:功率测试机基本改造完成正常测试偶发接触不良现象，反馈工程师重新构思可替换结构！</t>
    </r>
  </si>
  <si>
    <t>1:测试验证电源输出4.2v到产品端仅剩3.9v左右导致产品测试不良
2:设备日光灯不可控
3:设备报警记录较多
4:上位机软件与PLC信号交互异常</t>
  </si>
  <si>
    <t>1:电源到控制板多了一个二极管导致减少了0.3v左右，拆除一个二极管后正常
2:杜磊优化程序新增日光灯开关按钮
3:阻挡安全光栅不纳入报警记录仅作为触摸屏提示
4:上位机与PLC信号交互现场解决</t>
  </si>
  <si>
    <t>生产、采购、测试、电气</t>
  </si>
  <si>
    <t>方康敬、代亚平、刘伟、杜磊</t>
  </si>
  <si>
    <r>
      <rPr>
        <sz val="11"/>
        <color rgb="FF000000"/>
        <rFont val="宋体"/>
        <charset val="134"/>
      </rPr>
      <t>1:测试不良频繁</t>
    </r>
    <r>
      <rPr>
        <sz val="11"/>
        <color rgb="FF000000"/>
        <rFont val="宋体"/>
        <charset val="134"/>
      </rPr>
      <t xml:space="preserve">
</t>
    </r>
    <r>
      <rPr>
        <sz val="11"/>
        <color rgb="FF000000"/>
        <rFont val="宋体"/>
        <charset val="134"/>
      </rPr>
      <t>2:产品插仔过紧导致插仔下压易损坏</t>
    </r>
  </si>
  <si>
    <r>
      <rPr>
        <sz val="11"/>
        <color rgb="FF000000"/>
        <rFont val="宋体"/>
        <charset val="134"/>
      </rPr>
      <t>初步判断产品存在差异，同一部产品在一个工位反复手动下压未发现接触不良现象，更换产品后有概率接触不良</t>
    </r>
    <r>
      <rPr>
        <sz val="11"/>
        <color rgb="FF000000"/>
        <rFont val="宋体"/>
        <charset val="134"/>
      </rPr>
      <t xml:space="preserve">
</t>
    </r>
    <r>
      <rPr>
        <sz val="11"/>
        <color rgb="FF000000"/>
        <rFont val="宋体"/>
        <charset val="134"/>
      </rPr>
      <t>反馈李学伟及销售落实插仔损坏频繁问题</t>
    </r>
  </si>
  <si>
    <t>测试、电气</t>
  </si>
  <si>
    <t>刘伟、李学伟</t>
  </si>
  <si>
    <t>测试验证cc.cp双绞线更换直联屏蔽线验证</t>
  </si>
  <si>
    <t>待客户提供示波器抓取数值验证</t>
  </si>
  <si>
    <t>刘伟</t>
  </si>
  <si>
    <t>两台万用表四台功率分析仪无校验证书无法安全验收</t>
  </si>
  <si>
    <t>华中航到现场校验及提供校验证书</t>
  </si>
  <si>
    <t>供应商</t>
  </si>
  <si>
    <t>华中航</t>
  </si>
  <si>
    <t>991116331-M12 HOXC双头碰焊机(伺服焊头)(A类)MIL-BP-RW-073  991116331-M12 HOXC双头碰焊机（A类）MIL-BP-RW-074</t>
  </si>
  <si>
    <t>PJ250227044 PJ250226042</t>
  </si>
  <si>
    <t>1                1</t>
  </si>
  <si>
    <t>1:客户反馈双头碰焊机入料口也需要增加一组急停按钮开关</t>
  </si>
  <si>
    <t>五金店采购急停按钮安装完成</t>
  </si>
  <si>
    <t>结构</t>
  </si>
  <si>
    <t>李学伟</t>
  </si>
  <si>
    <t>私服碰焊头压力值调节无法固定</t>
  </si>
  <si>
    <t>调节螺杆从新打孔更换固定位</t>
  </si>
  <si>
    <r>
      <rPr>
        <sz val="11"/>
        <color rgb="FF000000"/>
        <rFont val="宋体"/>
        <charset val="134"/>
      </rPr>
      <t>3:提供两台设备工业排插3c认证资料及功率说明，不能提供则需要拆除更换有3c认证的排插“后续设备不能再用这种排插”</t>
    </r>
    <r>
      <rPr>
        <sz val="11"/>
        <color rgb="FF000000"/>
        <rFont val="宋体"/>
        <charset val="134"/>
      </rPr>
      <t xml:space="preserve">
</t>
    </r>
    <r>
      <rPr>
        <sz val="11"/>
        <color rgb="FF000000"/>
        <rFont val="宋体"/>
        <charset val="134"/>
      </rPr>
      <t>4:触摸屏安全门屏蔽按钮需要修改只能手动状态能切换屏蔽功能，切换自动状态必须跳转不能屏蔽！</t>
    </r>
  </si>
  <si>
    <r>
      <rPr>
        <sz val="11"/>
        <color rgb="FF000000"/>
        <rFont val="宋体"/>
        <charset val="134"/>
      </rPr>
      <t>1：已提供排插3C认证证书及确认排插背面有规格及功率说明</t>
    </r>
    <r>
      <rPr>
        <sz val="11"/>
        <color rgb="FF000000"/>
        <rFont val="宋体"/>
        <charset val="134"/>
      </rPr>
      <t xml:space="preserve">
</t>
    </r>
    <r>
      <rPr>
        <sz val="11"/>
        <color rgb="FF000000"/>
        <rFont val="宋体"/>
        <charset val="134"/>
      </rPr>
      <t>2:杜磊远程优化触摸屏软件，与客户确认OK</t>
    </r>
  </si>
  <si>
    <t>结构、电器</t>
  </si>
  <si>
    <t>李学伟、杜磊</t>
  </si>
  <si>
    <t>1:急停按钮不能有防护罩阻碍，“适用于后续TTI所有设备”，急停按钮过远员工不能及时按急停，入料口需增加一个急停按钮！</t>
  </si>
  <si>
    <r>
      <rPr>
        <sz val="11"/>
        <color rgb="FF000000"/>
        <rFont val="宋体"/>
        <charset val="134"/>
      </rPr>
      <t>入料口已新增急停按钮并与客户确认</t>
    </r>
    <r>
      <rPr>
        <sz val="11"/>
        <color rgb="FF000000"/>
        <rFont val="宋体"/>
        <charset val="134"/>
      </rPr>
      <t xml:space="preserve">
</t>
    </r>
    <r>
      <rPr>
        <sz val="11"/>
        <color rgb="FF000000"/>
        <rFont val="宋体"/>
        <charset val="134"/>
      </rPr>
      <t>缺出日料口安全光栅盲区阻挡</t>
    </r>
  </si>
  <si>
    <t>两台设备调试完成，生产两百套产品做CPK无异常</t>
  </si>
  <si>
    <t>与客户交接待做安全验收后即可上线投入生产使用</t>
  </si>
  <si>
    <r>
      <rPr>
        <sz val="11"/>
        <color rgb="FF000000"/>
        <rFont val="宋体"/>
        <charset val="134"/>
      </rPr>
      <t>伺服碰焊机调试完成碰焊测试完成，待做CPK测试验证</t>
    </r>
    <r>
      <rPr>
        <sz val="11"/>
        <color rgb="FF000000"/>
        <rFont val="宋体"/>
        <charset val="134"/>
      </rPr>
      <t xml:space="preserve">
</t>
    </r>
    <r>
      <rPr>
        <sz val="11"/>
        <color rgb="FF000000"/>
        <rFont val="宋体"/>
        <charset val="134"/>
      </rPr>
      <t>碰焊X轴坦克链与原点前后限位感应器装同一侧坦克链活动有撞坏感应器风险</t>
    </r>
  </si>
  <si>
    <t>感应器位置变更对向，点位全部从新调整</t>
  </si>
  <si>
    <r>
      <rPr>
        <sz val="11"/>
        <color rgb="FF000000"/>
        <rFont val="宋体"/>
        <charset val="134"/>
      </rPr>
      <t>设备调试问题点统计</t>
    </r>
    <r>
      <rPr>
        <sz val="11"/>
        <color rgb="FF000000"/>
        <rFont val="宋体"/>
        <charset val="134"/>
      </rPr>
      <t xml:space="preserve">
</t>
    </r>
    <r>
      <rPr>
        <sz val="11"/>
        <color rgb="FF000000"/>
        <rFont val="宋体"/>
        <charset val="134"/>
      </rPr>
      <t>1:伺服碰焊机缺少一组气源</t>
    </r>
    <r>
      <rPr>
        <sz val="11"/>
        <color rgb="FF000000"/>
        <rFont val="宋体"/>
        <charset val="134"/>
      </rPr>
      <t xml:space="preserve">
</t>
    </r>
    <r>
      <rPr>
        <sz val="11"/>
        <color rgb="FF000000"/>
        <rFont val="宋体"/>
        <charset val="134"/>
      </rPr>
      <t>2:缺少一根作业指导书挂杆</t>
    </r>
    <r>
      <rPr>
        <sz val="11"/>
        <color rgb="FF000000"/>
        <rFont val="宋体"/>
        <charset val="134"/>
      </rPr>
      <t xml:space="preserve">
</t>
    </r>
    <r>
      <rPr>
        <sz val="11"/>
        <color rgb="FF000000"/>
        <rFont val="宋体"/>
        <charset val="134"/>
      </rPr>
      <t>3:双头碰焊机压料气缸有料及无料感应器不在同一个位置无法亮灯！</t>
    </r>
    <r>
      <rPr>
        <sz val="11"/>
        <color rgb="FF000000"/>
        <rFont val="宋体"/>
        <charset val="134"/>
      </rPr>
      <t xml:space="preserve">
</t>
    </r>
    <r>
      <rPr>
        <sz val="11"/>
        <color rgb="FF000000"/>
        <rFont val="宋体"/>
        <charset val="134"/>
      </rPr>
      <t>4:两台设备缺少铭牌</t>
    </r>
    <r>
      <rPr>
        <sz val="11"/>
        <color rgb="FF000000"/>
        <rFont val="宋体"/>
        <charset val="134"/>
      </rPr>
      <t xml:space="preserve">
</t>
    </r>
    <r>
      <rPr>
        <sz val="11"/>
        <color rgb="FF000000"/>
        <rFont val="宋体"/>
        <charset val="134"/>
      </rPr>
      <t>5:伺服碰焊机两边碰焊头缺少一组压力信号及原有一组信号接反</t>
    </r>
    <r>
      <rPr>
        <sz val="11"/>
        <color rgb="FF000000"/>
        <rFont val="宋体"/>
        <charset val="134"/>
      </rPr>
      <t xml:space="preserve">
</t>
    </r>
    <r>
      <rPr>
        <sz val="11"/>
        <color rgb="FF000000"/>
        <rFont val="宋体"/>
        <charset val="134"/>
      </rPr>
      <t>6:压力表感应器前后信号接反</t>
    </r>
    <r>
      <rPr>
        <sz val="11"/>
        <color rgb="FF000000"/>
        <rFont val="宋体"/>
        <charset val="134"/>
      </rPr>
      <t xml:space="preserve">
</t>
    </r>
    <r>
      <rPr>
        <sz val="11"/>
        <color rgb="FF000000"/>
        <rFont val="宋体"/>
        <charset val="134"/>
      </rPr>
      <t>7:伺服碰焊机缺少两个冷风枪</t>
    </r>
    <r>
      <rPr>
        <sz val="11"/>
        <color rgb="FF000000"/>
        <rFont val="宋体"/>
        <charset val="134"/>
      </rPr>
      <t xml:space="preserve">
</t>
    </r>
    <r>
      <rPr>
        <sz val="11"/>
        <color rgb="FF000000"/>
        <rFont val="宋体"/>
        <charset val="134"/>
      </rPr>
      <t>两台设备焊机控制器及变压器拆除效验</t>
    </r>
  </si>
  <si>
    <r>
      <rPr>
        <sz val="11"/>
        <color rgb="FF000000"/>
        <rFont val="宋体"/>
        <charset val="134"/>
      </rPr>
      <t>1:未安装反馈公司邮寄</t>
    </r>
    <r>
      <rPr>
        <sz val="11"/>
        <color rgb="FF000000"/>
        <rFont val="宋体"/>
        <charset val="134"/>
      </rPr>
      <t xml:space="preserve">
</t>
    </r>
    <r>
      <rPr>
        <sz val="11"/>
        <color rgb="FF000000"/>
        <rFont val="宋体"/>
        <charset val="134"/>
      </rPr>
      <t>2:供应商少做反馈重做</t>
    </r>
    <r>
      <rPr>
        <sz val="11"/>
        <color rgb="FF000000"/>
        <rFont val="宋体"/>
        <charset val="134"/>
      </rPr>
      <t xml:space="preserve">
</t>
    </r>
    <r>
      <rPr>
        <sz val="11"/>
        <color rgb="FF000000"/>
        <rFont val="宋体"/>
        <charset val="134"/>
      </rPr>
      <t>3:气缸垫高使不管有无料状态都可亮灯</t>
    </r>
    <r>
      <rPr>
        <sz val="11"/>
        <color rgb="FF000000"/>
        <rFont val="宋体"/>
        <charset val="134"/>
      </rPr>
      <t xml:space="preserve">
</t>
    </r>
    <r>
      <rPr>
        <sz val="11"/>
        <color rgb="FF000000"/>
        <rFont val="宋体"/>
        <charset val="134"/>
      </rPr>
      <t>4:反馈公司制作铭牌</t>
    </r>
    <r>
      <rPr>
        <sz val="11"/>
        <color rgb="FF000000"/>
        <rFont val="宋体"/>
        <charset val="134"/>
      </rPr>
      <t xml:space="preserve">
</t>
    </r>
    <r>
      <rPr>
        <sz val="11"/>
        <color rgb="FF000000"/>
        <rFont val="宋体"/>
        <charset val="134"/>
      </rPr>
      <t>5:增加左右及前后碰焊压力信号</t>
    </r>
    <r>
      <rPr>
        <sz val="11"/>
        <color rgb="FF000000"/>
        <rFont val="宋体"/>
        <charset val="134"/>
      </rPr>
      <t xml:space="preserve">
</t>
    </r>
    <r>
      <rPr>
        <sz val="11"/>
        <color rgb="FF000000"/>
        <rFont val="宋体"/>
        <charset val="134"/>
      </rPr>
      <t>6:信号互调</t>
    </r>
    <r>
      <rPr>
        <sz val="11"/>
        <color rgb="FF000000"/>
        <rFont val="宋体"/>
        <charset val="134"/>
      </rPr>
      <t xml:space="preserve">
</t>
    </r>
    <r>
      <rPr>
        <sz val="11"/>
        <color rgb="FF000000"/>
        <rFont val="宋体"/>
        <charset val="134"/>
      </rPr>
      <t>7:客供冷风枪安装</t>
    </r>
    <r>
      <rPr>
        <sz val="11"/>
        <color rgb="FF000000"/>
        <rFont val="宋体"/>
        <charset val="134"/>
      </rPr>
      <t xml:space="preserve"> </t>
    </r>
  </si>
  <si>
    <t>生产、PMC</t>
  </si>
  <si>
    <t>唐乐兵</t>
  </si>
  <si>
    <t>惠州三华</t>
  </si>
  <si>
    <t xml:space="preserve">空调外机电控自动化测试线 </t>
  </si>
  <si>
    <t>PJ241101852</t>
  </si>
  <si>
    <t>汽车电子</t>
  </si>
  <si>
    <t>读码乱码</t>
  </si>
  <si>
    <t>按照伍金明要求更改读卡器供电方式验证</t>
  </si>
  <si>
    <t>伍金明</t>
  </si>
  <si>
    <t>2025.4.16</t>
  </si>
  <si>
    <t>测试机器内部比较暗</t>
  </si>
  <si>
    <t>增加机器内部日光灯</t>
  </si>
  <si>
    <t>张丙波</t>
  </si>
  <si>
    <t>风机联轴器断裂</t>
  </si>
  <si>
    <t>更换备用连轴器</t>
  </si>
  <si>
    <t>合肥中航</t>
  </si>
  <si>
    <t>BMS刷写系统（硬件）,KingCable 信息化智能管理系统软件,EOL测试系统（硬件）,Kingcable NXI 高速数据采集系统上位机驱动及操作软件V1.0</t>
  </si>
  <si>
    <t>PJ231101373</t>
  </si>
  <si>
    <t>焊接板卡继电器并更换板卡</t>
  </si>
  <si>
    <t>更换后配合测试验证性能过程中烧坏板卡：</t>
  </si>
  <si>
    <t>丘文华</t>
  </si>
  <si>
    <t>2025.4.26</t>
  </si>
  <si>
    <t>徐超</t>
  </si>
  <si>
    <t>西安比亚迪</t>
  </si>
  <si>
    <t>功能测试台</t>
  </si>
  <si>
    <t>PJ241204904</t>
  </si>
  <si>
    <t>CAN通讯失败，配合王工排查测试箱</t>
  </si>
  <si>
    <t>排查发现有一组控制板卡，底部的端子没有焊锡，导致接触不良。</t>
  </si>
  <si>
    <t>谢朝良</t>
  </si>
  <si>
    <t>力值控制盒安装支架，与底板螺丝孔不对称。</t>
  </si>
  <si>
    <t>重新打孔安装。</t>
  </si>
  <si>
    <t>测试工装旋转电机晃动，影响测试稳定性</t>
  </si>
  <si>
    <t>反馈给黄工，需要更换联轴器。但是客户现场急着要生产，只能打孔用螺丝把旋转轴固定死。暂时不用旋转轴。</t>
  </si>
  <si>
    <t>测试笔头是圆形的，与产品接触面积小，会影响测试稳定性。笔头优力胶材质太软，需要优化。</t>
  </si>
  <si>
    <t>反馈结构黄工，待优化。</t>
  </si>
  <si>
    <t>视觉检测软件闪退，视觉软件拍完照测试以后。图片不能保存，需要优化。</t>
  </si>
  <si>
    <t>闪退问题供应商远程已解决，图片保存功能还未增加。</t>
  </si>
  <si>
    <t>现场已经大概调好一台机了，试跑验证稳定性。目前测试CT太久了（200秒），</t>
  </si>
  <si>
    <t>上位机王工优化测试软件，PLC优化动作。尽可能的去减少测试时间。</t>
  </si>
  <si>
    <t>王俊</t>
  </si>
  <si>
    <t>二维力传感器，Y方向没有力值反馈。</t>
  </si>
  <si>
    <t>联系供应商处理。</t>
  </si>
  <si>
    <t>整机试跑产品，发现测试稳定性较差。</t>
  </si>
  <si>
    <t>目前发现测试拨杆优力胶与产品接触面较少，会影响测试。结构重做优力胶。</t>
  </si>
  <si>
    <t>该项目两台机测试功能和PLC动作都已调试好。就差光学视觉和二维力存在问题。</t>
  </si>
  <si>
    <t>联系相关供应商处理。</t>
  </si>
  <si>
    <t>耐久测试设备</t>
  </si>
  <si>
    <t>PJ241224930</t>
  </si>
  <si>
    <t>快换夹产品夹子夹住产品以后，缝隙太大。会有掉落风险。夹子仿形做的和产品差异较大。</t>
  </si>
  <si>
    <t>暂时用垫片垫起来，待新优力胶夹子到了更换。</t>
  </si>
  <si>
    <t>快换按压产品优力胶头，做的尺寸大了，按不下去产品按钮。</t>
  </si>
  <si>
    <t>用刀片削掉多余的优力胶。</t>
  </si>
  <si>
    <t>快放夹产品夹子感应器支架，与放夹子底座干涉。</t>
  </si>
  <si>
    <t>重新做感应器安装支架。</t>
  </si>
  <si>
    <t>光色相机没有缺陷检测功能。</t>
  </si>
  <si>
    <t>供应商远程处理。</t>
  </si>
  <si>
    <t>压力传感器只有Z方向力值输出，没有X方向力值。</t>
  </si>
  <si>
    <t>寄了5套新的力传感器，重新接线验证力值。已OK</t>
  </si>
  <si>
    <t>EW功能检测设备</t>
  </si>
  <si>
    <t>PJ250213021</t>
  </si>
  <si>
    <t>打膨胀螺丝孔，固定机械手。</t>
  </si>
  <si>
    <t>锁体单工位测试完成以后，转盘无动作。</t>
  </si>
  <si>
    <t>PIC和上位机交互问题，曾工优化程序。</t>
  </si>
  <si>
    <t>儿童锁测试不过。</t>
  </si>
  <si>
    <t>排查发现拨儿童锁气缸无动作。曾工优化PLC程序。调整气缸位置。</t>
  </si>
  <si>
    <t>产品电阻测试不过。</t>
  </si>
  <si>
    <t>检查发现，插产品端子气缸行程短了没插到位。调整气缸行程。</t>
  </si>
  <si>
    <t>右锁加持产品气缸，夹产品松动。</t>
  </si>
  <si>
    <t>排查发现优力胶做薄了，夹不紧产品。用垫片把优力胶垫厚。</t>
  </si>
  <si>
    <t>胡博勤</t>
  </si>
  <si>
    <t>顺德美的</t>
  </si>
  <si>
    <t>ZD028-外销WIFI自动装配线项目</t>
  </si>
  <si>
    <t xml:space="preserve"> PJ240430577</t>
  </si>
  <si>
    <t>2024..7</t>
  </si>
  <si>
    <t>未及时填写日报汇报</t>
  </si>
  <si>
    <t>欧阳天华</t>
  </si>
  <si>
    <t>长沙雨花比亚迪9号5楼</t>
  </si>
  <si>
    <t xml:space="preserve"> CCM功能测试设备、安规测试设备、内阻功能测试设备</t>
  </si>
  <si>
    <t>PJ240522608</t>
  </si>
  <si>
    <t>2024.8</t>
  </si>
  <si>
    <t>新增工控机后增加启动电脑按钮和增加UAB线</t>
  </si>
  <si>
    <t>用原有的电脑启动按钮线安装，增加设备USB端口到工控机的USB线</t>
  </si>
  <si>
    <t>研发</t>
  </si>
  <si>
    <t>梁柱</t>
  </si>
  <si>
    <t>跟进产线生产及处理异常</t>
  </si>
  <si>
    <t>设备空开出现异响，排查发现设备总开关线接触不良，拧紧后无异常</t>
  </si>
  <si>
    <t>长沙雨花比亚迪</t>
  </si>
  <si>
    <t>翻转试验台_非标</t>
  </si>
  <si>
    <t>PJ230904316</t>
  </si>
  <si>
    <t>新增的流量ng率高</t>
  </si>
  <si>
    <t>1.排查硬件没问题，ng产品测多次也不会出现ok的情况，应该是客户产品的原因</t>
  </si>
  <si>
    <t>HA2E左前窗控自动测试模组_非标</t>
  </si>
  <si>
    <t>PJ241014824</t>
  </si>
  <si>
    <r>
      <rPr>
        <sz val="11"/>
        <color rgb="FF000000"/>
        <rFont val="宋体"/>
        <charset val="134"/>
      </rPr>
      <t>1.客户移动设备后新添加产品测试不了</t>
    </r>
    <r>
      <rPr>
        <sz val="11"/>
        <color rgb="FF000000"/>
        <rFont val="宋体"/>
        <charset val="134"/>
      </rPr>
      <t xml:space="preserve">
</t>
    </r>
    <r>
      <rPr>
        <sz val="11"/>
        <color rgb="FF000000"/>
        <rFont val="宋体"/>
        <charset val="134"/>
      </rPr>
      <t>2.无法测试阻值小于300的产品（前面客户要求增加）</t>
    </r>
  </si>
  <si>
    <r>
      <rPr>
        <sz val="11"/>
        <color rgb="FF000000"/>
        <rFont val="宋体"/>
        <charset val="134"/>
      </rPr>
      <t>1硬件没问题，新添加的测试文档未设置好导致测试不过的，已设置好</t>
    </r>
    <r>
      <rPr>
        <sz val="11"/>
        <color rgb="FF000000"/>
        <rFont val="宋体"/>
        <charset val="134"/>
      </rPr>
      <t xml:space="preserve">
</t>
    </r>
    <r>
      <rPr>
        <sz val="11"/>
        <color rgb="FF000000"/>
        <rFont val="宋体"/>
        <charset val="134"/>
      </rPr>
      <t>2.配合上位机远程修改程序，已删除该功能</t>
    </r>
  </si>
  <si>
    <r>
      <rPr>
        <sz val="11"/>
        <color rgb="FF000000"/>
        <rFont val="宋体"/>
        <charset val="134"/>
      </rPr>
      <t>1，设备异响，x轴走动时有异响</t>
    </r>
    <r>
      <rPr>
        <sz val="11"/>
        <color rgb="FF000000"/>
        <rFont val="宋体"/>
        <charset val="134"/>
      </rPr>
      <t xml:space="preserve">
</t>
    </r>
    <r>
      <rPr>
        <sz val="11"/>
        <color rgb="FF000000"/>
        <rFont val="宋体"/>
        <charset val="134"/>
      </rPr>
      <t>2，启动信号会丢失，扫码扫不上</t>
    </r>
    <r>
      <rPr>
        <sz val="11"/>
        <color rgb="FF000000"/>
        <rFont val="宋体"/>
        <charset val="134"/>
      </rPr>
      <t xml:space="preserve">
</t>
    </r>
    <r>
      <rPr>
        <sz val="11"/>
        <color rgb="FF000000"/>
        <rFont val="宋体"/>
        <charset val="134"/>
      </rPr>
      <t>3，客户反馈测试ok后没给取料信号导致机械手不拿料</t>
    </r>
  </si>
  <si>
    <r>
      <rPr>
        <sz val="11"/>
        <color rgb="FF000000"/>
        <rFont val="宋体"/>
        <charset val="134"/>
      </rPr>
      <t>1，设备异响（电机传送皮带螺丝松了，划到机构外壳，已处理）</t>
    </r>
    <r>
      <rPr>
        <sz val="11"/>
        <color rgb="FF000000"/>
        <rFont val="宋体"/>
        <charset val="134"/>
      </rPr>
      <t xml:space="preserve">
</t>
    </r>
    <r>
      <rPr>
        <sz val="11"/>
        <color rgb="FF000000"/>
        <rFont val="宋体"/>
        <charset val="134"/>
      </rPr>
      <t>2，启动信号会丢失（是条码反光导致扫不上无法启动，已处理）</t>
    </r>
    <r>
      <rPr>
        <sz val="11"/>
        <color rgb="FF000000"/>
        <rFont val="宋体"/>
        <charset val="134"/>
      </rPr>
      <t xml:space="preserve">
</t>
    </r>
    <r>
      <rPr>
        <sz val="11"/>
        <color rgb="FF000000"/>
        <rFont val="宋体"/>
        <charset val="134"/>
      </rPr>
      <t>3，没给取料信号（目前未发现我们设备异常）明天跟线观察</t>
    </r>
  </si>
  <si>
    <t>上位机，电气，</t>
  </si>
  <si>
    <t>梁昭，刘真</t>
  </si>
  <si>
    <t>1.客户反馈测试ok后没给取料信号导致机械手不拿料</t>
  </si>
  <si>
    <t>跟进产线生产并未发现该问题</t>
  </si>
  <si>
    <t>小法兰盘集成精滤油泵设备委外</t>
  </si>
  <si>
    <t>PJ250114959</t>
  </si>
  <si>
    <t>前段升降平台卡死，帮忙排查问题</t>
  </si>
  <si>
    <t>1.排查发现电机伺服报错电机负载，需要把电机链条拆开然后用手推动升降平台是否能推动来判断电机的问题还是导轨生锈卡死，待客户自己安排人拆链条</t>
  </si>
  <si>
    <t>丁盼，刘真</t>
  </si>
  <si>
    <t>刘亚强</t>
  </si>
  <si>
    <t>佛山三水海尔</t>
  </si>
  <si>
    <t>佛山领智灌胶预热炉改造</t>
  </si>
  <si>
    <t>PJ240904772</t>
  </si>
  <si>
    <t>B胶管磨破，漏胶</t>
  </si>
  <si>
    <t>更换新管子</t>
  </si>
  <si>
    <t>张炳波</t>
  </si>
  <si>
    <t>5线灌胶机胶管破裂</t>
  </si>
  <si>
    <t>临时用胶布缠住，已采购新管子</t>
  </si>
  <si>
    <t>1线修整台客户说只能调宽，不能调窄</t>
  </si>
  <si>
    <t>客户操作不打，没有回原位，程序里有防呆限制，培训客户</t>
  </si>
  <si>
    <t>桶底阀过滤网堵住，有残胶</t>
  </si>
  <si>
    <t>更换过滤网</t>
  </si>
  <si>
    <t>产品偶尔出现有不干胶</t>
  </si>
  <si>
    <t>搅拌速度加快，清理齿轮泵</t>
  </si>
  <si>
    <t>杜鹏</t>
  </si>
  <si>
    <t>坪山比亚迪</t>
  </si>
  <si>
    <t>HC2EA电控箱_HC2EA</t>
  </si>
  <si>
    <t>PJ230727241</t>
  </si>
  <si>
    <t>电控箱继电器容易烧坏，跟进更改方案</t>
  </si>
  <si>
    <t>已让电气，测试下单采购备件</t>
  </si>
  <si>
    <t>顺德高创</t>
  </si>
  <si>
    <t>CDHD-HV老化柜</t>
  </si>
  <si>
    <t>PJ230904308</t>
  </si>
  <si>
    <t>其它</t>
  </si>
  <si>
    <t>熔断器容易烧坏</t>
  </si>
  <si>
    <t>更换功率大的</t>
  </si>
  <si>
    <t>上海移远</t>
  </si>
  <si>
    <t>功放生产测试产线</t>
  </si>
  <si>
    <t>PJ250212020</t>
  </si>
  <si>
    <t>烧录工装，转接箱线路未排查</t>
  </si>
  <si>
    <t>用万用表排查线路是否导通</t>
  </si>
  <si>
    <t>烧录 PLC点位未对</t>
  </si>
  <si>
    <t>对点位，优化程序</t>
  </si>
  <si>
    <t>烧录软件框架未设计，工装未调试</t>
  </si>
  <si>
    <t>已设计完成并验证</t>
  </si>
  <si>
    <t>5台设备安全门按钮顺序跟其它厂家不一致</t>
  </si>
  <si>
    <t>按照客户要求统一更改</t>
  </si>
  <si>
    <t>FCT机台照明灯管烧坏</t>
  </si>
  <si>
    <t>24V接到220V，已更改线路，灯管未到</t>
  </si>
  <si>
    <t>五台设备安全门关不上，磁铁吸不住</t>
  </si>
  <si>
    <t>调整磁铁位置</t>
  </si>
  <si>
    <t>5台设备轨道倍速链驱动器未安装</t>
  </si>
  <si>
    <t>客户未提供，预计11号到货安装接线</t>
  </si>
  <si>
    <t>PMC</t>
  </si>
  <si>
    <t>常雄</t>
  </si>
  <si>
    <t>烧录吸附真空吸力小，PCB板吸不起来</t>
  </si>
  <si>
    <t>跟结构沟通更该大吸力真空发生器或是真空泵，气管更换6mm,更换大吸盘</t>
  </si>
  <si>
    <t>烧录抓手下压气缸动作太快，震动太大</t>
  </si>
  <si>
    <t>增加节流阀，调气压</t>
  </si>
  <si>
    <t>谢俊</t>
  </si>
  <si>
    <t>受伤恢复中</t>
  </si>
  <si>
    <t>高空油泵线正常使用过程中产品会倒</t>
  </si>
  <si>
    <t>2024.11.9号检查皮带运行状况时不慎摔落受伤休假中</t>
  </si>
  <si>
    <t>销售</t>
  </si>
  <si>
    <t>尹杨飞</t>
  </si>
  <si>
    <t>2024.11.9</t>
  </si>
  <si>
    <t>张学松</t>
  </si>
  <si>
    <t>春节期间摔断腿 病假中</t>
  </si>
  <si>
    <t>袁盛武</t>
  </si>
  <si>
    <t>武汉中航</t>
  </si>
  <si>
    <t>WHA3-P1-CIR产线模组绝缘耐压测试挑战件</t>
  </si>
  <si>
    <t>PJ240723710</t>
  </si>
  <si>
    <t>A3P1ISO1号机，扫码完成后Z轴不下压测试异常问题</t>
  </si>
  <si>
    <t>沟通电气工程师及测试工程师远程协助客户排查及处理异常</t>
  </si>
  <si>
    <t>现场整体排查后发现是出料口安全光栅被撞了光栅防护罩变形导致光栅信号不稳定，修好防护罩光栅重新安装后OK</t>
  </si>
  <si>
    <t>通用控制箱I/O板_RS422,通用控制箱DAQ卡_RS422</t>
  </si>
  <si>
    <t>PJ230620206</t>
  </si>
  <si>
    <t>ISO设备电脑开不机</t>
  </si>
  <si>
    <r>
      <rPr>
        <sz val="11"/>
        <color rgb="FF000000"/>
        <rFont val="宋体"/>
        <charset val="134"/>
      </rPr>
      <t>取下电脑主板电池及拔出电脑主</t>
    </r>
    <r>
      <rPr>
        <sz val="11"/>
        <color rgb="FF000000"/>
        <rFont val="宋体"/>
        <charset val="134"/>
      </rPr>
      <t xml:space="preserve">
</t>
    </r>
    <r>
      <rPr>
        <sz val="11"/>
        <color rgb="FF000000"/>
        <rFont val="宋体"/>
        <charset val="134"/>
      </rPr>
      <t>机内存条清洁后插回去，电脑开机正常</t>
    </r>
  </si>
  <si>
    <t>ISO设备调试</t>
  </si>
  <si>
    <t>远程测试工程师杨明博进行测试软件调试</t>
  </si>
  <si>
    <t>林海</t>
  </si>
  <si>
    <t>武汉暖通</t>
  </si>
  <si>
    <t>2025年-武汉工厂-JG038、JG036-COLMO线FCT四工位改造及内机涂覆线体布局调整项目</t>
  </si>
  <si>
    <t>PJ250217025</t>
  </si>
  <si>
    <t>涂覆机改造</t>
  </si>
  <si>
    <t>1号涂覆机协助客户调试设备程序</t>
  </si>
  <si>
    <t>机械设计 外发</t>
  </si>
  <si>
    <t>2号涂覆机拆除旧轨道更换新轨道1号涂覆机拆除旧轨道更换新轨道</t>
  </si>
  <si>
    <t>2号涂覆机协助客户调试设备程序</t>
  </si>
  <si>
    <t>胡远来</t>
  </si>
  <si>
    <t>电子雨刮电控箱_UXEAA</t>
  </si>
  <si>
    <t>PJ240227099</t>
  </si>
  <si>
    <t>测试没有电流 继电器烧坏了</t>
  </si>
  <si>
    <t>更换新的接触器、交流接触器</t>
  </si>
  <si>
    <t>2025.4.7</t>
  </si>
  <si>
    <t>2025.4.10</t>
  </si>
  <si>
    <t>客户擅自删除了内部文件导致测试软件无法打开</t>
  </si>
  <si>
    <t>重新安装新的测试软件</t>
  </si>
  <si>
    <t>鹅埠比亚迪</t>
  </si>
  <si>
    <t>设备到现场通电气调试</t>
  </si>
  <si>
    <t>协助电气工程师调试设备</t>
  </si>
  <si>
    <t>2025.4.11</t>
  </si>
  <si>
    <t>衡阳比亚迪</t>
  </si>
  <si>
    <t>线路板全自动组装线</t>
  </si>
  <si>
    <t>PJ240905775</t>
  </si>
  <si>
    <t>镭雕点胶机软件无法正常打开</t>
  </si>
  <si>
    <t>上位机工程师远程协助改善软件</t>
  </si>
  <si>
    <t>机械外发，采购</t>
  </si>
  <si>
    <t>张丙波金希倩</t>
  </si>
  <si>
    <t>2025.4.17</t>
  </si>
  <si>
    <t>点胶机喷不出胶，喷头堵死了</t>
  </si>
  <si>
    <t>用酒精浸泡喷嘴，用通针疏通喷嘴</t>
  </si>
  <si>
    <t>上下板机，4个接驳台安全门无电子锁</t>
  </si>
  <si>
    <t>安全门重新加装电子锁</t>
  </si>
  <si>
    <t>缓存机安全门无电子锁，</t>
  </si>
  <si>
    <t>安全门重新加装电子锁，培训客户操作键合机软件，设备维护保养</t>
  </si>
  <si>
    <t>加装电子锁的设备程序逻辑需要修改</t>
  </si>
  <si>
    <t>供应商远程协助改善程序逻辑</t>
  </si>
  <si>
    <t>客户要求上下板机轨道侧面，各设备轨道进岀口需要加装防护板（安防需要）</t>
  </si>
  <si>
    <t>各设备加装客户方的装运箱防护板</t>
  </si>
  <si>
    <t>卢维学</t>
  </si>
  <si>
    <t>福建海睿达</t>
  </si>
  <si>
    <t>伺服标杆线整机自动化连线测试</t>
  </si>
  <si>
    <t>PJ241111867</t>
  </si>
  <si>
    <t>老化炉腔体内部分接近感应器处于出风口边缘，长时间加热会导致感应器损坏。</t>
  </si>
  <si>
    <t>老化炉接近感应器配孔，更换感应器位置，远离出风管道。 老化前检测缓存机过板感应器改孔，更换安装位置。</t>
  </si>
  <si>
    <t>曾杰</t>
  </si>
  <si>
    <t>Type-c串口连接不稳定，到场8个负载柜惯量盘未安装。</t>
  </si>
  <si>
    <t>配合硬件验证新的弱电测试版Typec连接不稳问题，安装负载柜惯量盘（完成50%）接老化前测试负载柜内电机编码器线。</t>
  </si>
  <si>
    <t>硬件</t>
  </si>
  <si>
    <t>田求发</t>
  </si>
  <si>
    <t>老化炉强电机台端裸露在外，会有风险。</t>
  </si>
  <si>
    <t>安装剩余惯量盘，安装老化炉强电保护罩</t>
  </si>
  <si>
    <t>客户要求重新走线槽。</t>
  </si>
  <si>
    <t>整理现场走线线槽，按客户要求新增一部分铝线槽确保美观。</t>
  </si>
  <si>
    <t>对拖柜莱姆感应器数值读取异常。</t>
  </si>
  <si>
    <t>发现15v开关电源线接错了，重新接线配合调试后已无异常。</t>
  </si>
  <si>
    <t>生产（外协接的线）</t>
  </si>
  <si>
    <t>莱姆传感器读取数值错误</t>
  </si>
  <si>
    <t>更换莱姆感应器DB9接头触点，更换中盛控件接线点位。</t>
  </si>
  <si>
    <r>
      <rPr>
        <sz val="11"/>
        <color rgb="FF000000"/>
        <rFont val="宋体"/>
        <charset val="134"/>
      </rPr>
      <t>老化前测试跑料发现750w电机又出现异常，已退回客户研发处理。</t>
    </r>
    <r>
      <rPr>
        <sz val="11"/>
        <color rgb="FF000000"/>
        <rFont val="宋体"/>
        <charset val="134"/>
      </rPr>
      <t xml:space="preserve"> </t>
    </r>
  </si>
  <si>
    <t>返修</t>
  </si>
  <si>
    <t>客供品</t>
  </si>
  <si>
    <t>老化后测试新增电平转换板，两个测试箱体改线，配合测试调试</t>
  </si>
  <si>
    <t>老化炉门锁钣金孔位打错，导致关门不顺畅，需要人为去调整锁头位置。</t>
  </si>
  <si>
    <t>现场增加门锁固定件腰孔。</t>
  </si>
  <si>
    <t>跑料统计老化前测试偶发异常，例如485串口接收数据失败，485线受干扰，排查处理。</t>
  </si>
  <si>
    <t>调整测试版位置</t>
  </si>
  <si>
    <t>老化炉腔体内走线位置钣金拆除后，会导致隔温层内隔温棉裸露在外，客户不接受</t>
  </si>
  <si>
    <t>把走线位置钣金开孔，并且开槽方便走线。</t>
  </si>
  <si>
    <t>Q2现场问题汇总</t>
  </si>
  <si>
    <t>问题点数量</t>
  </si>
  <si>
    <t>项目数量
比例</t>
  </si>
  <si>
    <t>设备台数
比例</t>
  </si>
  <si>
    <t>项目数量不良率</t>
  </si>
  <si>
    <t>设备台数不良率</t>
  </si>
  <si>
    <t>机械</t>
  </si>
  <si>
    <t>各部门项目量/设备量不良率：</t>
  </si>
  <si>
    <t>2025年4/5/6月客服跟进现场设备问题分析统计</t>
  </si>
  <si>
    <t>1
1</t>
  </si>
  <si>
    <t>产品有快充功能导致负载测试无法拉高，预计大改动
产品防呆检测感应器更换完成
产品测试插头安装调试完成，欠缺两根插针</t>
  </si>
  <si>
    <t xml:space="preserve">1:两台设备所有仪器未按客户要求贴资产编号
2:测试板电阻为10k欧需求为931欧
3:门禁缺少两组接近开关 </t>
  </si>
  <si>
    <t>1:所有仪器贴明显资产标识
2:反馈采购下单931欧电阻
3:门禁接近开关安装
4:功率测试机基本改造完成验证可行性，待与客户确认落实</t>
  </si>
  <si>
    <t>1:设备总功率约10kw电源插头欧式插头最大13A，瞬时电压过高导致频繁烧损保险丝！
2:测试板电阻为10k欧需求为931欧
3:客户产品差异较大插仔有接触不良现象！</t>
  </si>
  <si>
    <t>1:临时措施拆除插头保险丝直接焊接导通使用，反馈工程师采购20A以上插头
2:临时使用三个309k电阻拼接使用，待931电阻到货后更换！
3:功率测试机基本改造完成正常测试偶发接触不良现象，反馈工程师重新构思可替换结构！</t>
  </si>
  <si>
    <t>1:测试不良频繁
2:产品插仔过紧导致插仔下压易损坏</t>
  </si>
  <si>
    <t>初步判断产品存在差异，同一部产品在一个工位反复手动下压未发现接触不良现象，更换产品后有概率接触不良
反馈李学伟及销售落实插仔损坏频繁问题</t>
  </si>
  <si>
    <t>3:提供两台设备工业排插3c认证资料及功率说明，不能提供则需要拆除更换有3c认证的排插“后续设备不能再用这种排插”
4:触摸屏安全门屏蔽按钮需要修改只能手动状态能切换屏蔽功能，切换自动状态必须跳转不能屏蔽！</t>
  </si>
  <si>
    <t>1：已提供排插3C认证证书及确认排插背面有规格及功率说明
2:杜磊远程优化触摸屏软件，与客户确认OK</t>
  </si>
  <si>
    <t>入料口已新增急停按钮并与客户确认
缺出日料口安全光栅盲区阻挡</t>
  </si>
  <si>
    <t>伺服碰焊机调试完成碰焊测试完成，待做CPK测试验证
碰焊X轴坦克链与原点前后限位感应器装同一侧坦克链活动有撞坏感应器风险</t>
  </si>
  <si>
    <t>设备调试问题点统计
1:伺服碰焊机缺少一组气源
2:缺少一根作业指导书挂杆
3:双头碰焊机压料气缸有料及无料感应器不在同一个位置无法亮灯！
4:两台设备缺少铭牌
5:伺服碰焊机两边碰焊头缺少一组压力信号及原有一组信号接反
6:压力表感应器前后信号接反
7:伺服碰焊机缺少两个冷风枪
两台设备焊机控制器及变压器拆除效验</t>
  </si>
  <si>
    <t xml:space="preserve">1:未安装反馈公司邮寄
2:供应商少做反馈重做
3:气缸垫高使不管有无料状态都可亮灯
4:反馈公司制作铭牌
5:增加左右及前后碰焊压力信号
6:信号互调
7:客供冷风枪安装 </t>
  </si>
  <si>
    <t>1.客户移动设备后新添加产品测试不了
2.无法测试阻值小于300的产品（前面客户要求增加）</t>
  </si>
  <si>
    <t>1硬件没问题，新添加的测试文档未设置好导致测试不过的，已设置好
2.配合上位机远程修改程序，已删除该功能</t>
  </si>
  <si>
    <t>1，设备异响，x轴走动时有异响
2，启动信号会丢失，扫码扫不上
3，客户反馈测试ok后没给取料信号导致机械手不拿料</t>
  </si>
  <si>
    <t>1，设备异响（电机传送皮带螺丝松了，划到机构外壳，已处理）
2，启动信号会丢失（是条码反光导致扫不上无法启动，已处理）
3，没给取料信号（目前未发现我们设备异常）明天跟线观察</t>
  </si>
  <si>
    <t>取下电脑主板电池及拔出电脑主
机内存条清洁后插回去，电脑开机正常</t>
  </si>
  <si>
    <t xml:space="preserve">老化前测试跑料发现750w电机又出现异常，已退回客户研发处理。 </t>
  </si>
  <si>
    <t>行文智教</t>
  </si>
  <si>
    <t>鹏程大规模</t>
  </si>
  <si>
    <t>PJ231218464</t>
  </si>
  <si>
    <t>教育教学</t>
  </si>
  <si>
    <t>螺丝机不出钉 未锁螺丝</t>
  </si>
  <si>
    <t>螺丝机出钉口卡钉、出钉管内满料造成卡死，拔掉锁口管子手动启动出钉清空后恢复正常。</t>
  </si>
  <si>
    <t>2025.5.19</t>
  </si>
  <si>
    <t>2025.5.20</t>
  </si>
  <si>
    <t>1:两台设备所有仪器未按客户要求贴资产编号
2:测试板电阻为10k欧需求为931欧
3:门禁缺少两组接近开关</t>
  </si>
  <si>
    <t>视觉检测软件闪退，视觉软件拍完照测试以后。图片不能保存，需要优化</t>
  </si>
  <si>
    <t>991116335-平衡测试机-M18</t>
  </si>
  <si>
    <t>PJ250327088</t>
  </si>
  <si>
    <t>客户反馈出料口光纤头损坏无法反馈准确数值及补料机构接近开关损坏一个</t>
  </si>
  <si>
    <t>标准件存在品质问题，该款平衡测试机已到现场四台设备每台都有类似现象接近开关或光电开关及磁感损坏</t>
  </si>
  <si>
    <t>2025.5.1</t>
  </si>
  <si>
    <t>2025.5.30</t>
  </si>
  <si>
    <t>合肥比亚迪</t>
  </si>
  <si>
    <t>PJ250114960</t>
  </si>
  <si>
    <t>摩尔力传感器压力异常</t>
  </si>
  <si>
    <t>更换摩尔力传感器</t>
  </si>
  <si>
    <t>PJ241203898</t>
  </si>
  <si>
    <t>连锡文件学习失败</t>
  </si>
  <si>
    <t>软件BUG待更新最新软件</t>
  </si>
  <si>
    <t>P档测试失败</t>
  </si>
  <si>
    <t>待相机厂商调试</t>
  </si>
  <si>
    <t>相机亮度测试NG</t>
  </si>
  <si>
    <t>相机色度测试NG</t>
  </si>
  <si>
    <t>EQEA换档面板测试设备，在测试过程中，相机软件经常报错。无法测试。</t>
  </si>
  <si>
    <t>相机厂家远程优化。生产验证。</t>
  </si>
  <si>
    <t>耐久测试设备_/</t>
  </si>
  <si>
    <t>URE面板测试设备，光色相机在拍照测试过程中。偶尔会出现拍照粉红色问题。</t>
  </si>
  <si>
    <t>联系相机厂家，远程处理。配合相机厂家验证。</t>
  </si>
  <si>
    <t>URE面板测试设备，光色相机测试CT时间太长。（目前拍4张照片需要30秒）</t>
  </si>
  <si>
    <t>相机厂家远程优化，配合验证。</t>
  </si>
  <si>
    <t>URE窗控测试设备，机械轴在调试过程中所有的轴报警。</t>
  </si>
  <si>
    <t>联系机械手厂家处理。</t>
  </si>
  <si>
    <t>EWEA锁体测试设备，产品检测感应器经常会误感应。</t>
  </si>
  <si>
    <t>公司寄了两个感应器过来更换验证。</t>
  </si>
  <si>
    <t>推测在雕刻工装位置和打包机传送位置导致模块本体不良</t>
  </si>
  <si>
    <t>打包机皮带 磨损导致掉粉脏污 以及压坏产品。皮带已经下单 安装后 问题将得到改善。</t>
  </si>
  <si>
    <t>冬端盒下盖移栽，小皮带出现断裂问题</t>
  </si>
  <si>
    <t>已经优化完成，持续试跑产品验证稳定中</t>
  </si>
  <si>
    <t>冬端盒盖与终端盒下盖震动盘传送卡料问题</t>
  </si>
  <si>
    <t xml:space="preserve"> 在线功能测试设备_非标</t>
  </si>
  <si>
    <t>PJ250224034</t>
  </si>
  <si>
    <t>调试设备</t>
  </si>
  <si>
    <t>1.给产品按键对点位，已对完
2.调试视觉软件，做模板，完成一半</t>
  </si>
  <si>
    <t>1.调试视觉软件，模板已做完，待试制验证</t>
  </si>
  <si>
    <t>长沙望城比亚迪</t>
  </si>
  <si>
    <t>在线功能测试台</t>
  </si>
  <si>
    <t>PJ250123012</t>
  </si>
  <si>
    <t>杨唐贤</t>
  </si>
  <si>
    <t>四台机相机打光调试拍照效果。</t>
  </si>
  <si>
    <t>视觉软件读取不到重量，称重通讯地址不一样，更改PLC通讯地址。</t>
  </si>
  <si>
    <t>2025.5.16</t>
  </si>
  <si>
    <t>重庆传音</t>
  </si>
  <si>
    <t>彩盒A0I检测设备</t>
  </si>
  <si>
    <t>PJ250321073</t>
  </si>
  <si>
    <t>2025.4</t>
  </si>
  <si>
    <t>3C电子</t>
  </si>
  <si>
    <t>四台机测试mes系统，四台机已调通</t>
  </si>
  <si>
    <t>991006331-M12CP自动碰焊机碰焊夹具FK130300-01Z-C078~C109(D类)</t>
  </si>
  <si>
    <t>PJ250519177</t>
  </si>
  <si>
    <t>锂电</t>
  </si>
  <si>
    <t>32套夹具有7套牙孔滑牙无法锁紧</t>
  </si>
  <si>
    <t>M3*6螺丝更换长度12MM螺丝，反馈PMC追责供应商</t>
  </si>
  <si>
    <t>2025.6.17</t>
  </si>
  <si>
    <t>常州毫厘</t>
  </si>
  <si>
    <t>IMU组装自动线</t>
  </si>
  <si>
    <t>PJ241010813</t>
  </si>
  <si>
    <t>主板经常放偏</t>
  </si>
  <si>
    <t>视觉抓圆工具抓偏导致放偏，修改抓取方式，不再抓圆采取抓边的方式 外发董建</t>
  </si>
  <si>
    <t>采购软件外发</t>
  </si>
  <si>
    <t>2025.6.10</t>
  </si>
  <si>
    <t>2025.6.13</t>
  </si>
  <si>
    <t>梁栋</t>
  </si>
  <si>
    <t>印度海尔</t>
  </si>
  <si>
    <t>PCB Assembly line（PCB组装线）</t>
  </si>
  <si>
    <t>PJ241029848</t>
  </si>
  <si>
    <t>代客户采购的电脑没有配置显示器</t>
  </si>
  <si>
    <t>现场采购</t>
  </si>
  <si>
    <t>2025.6.1</t>
  </si>
  <si>
    <t>2025.6.30</t>
  </si>
  <si>
    <t>老化仿形插头做错，导致气缸行程有干涉</t>
  </si>
  <si>
    <t>安装仿形插头，调气缸行程，和感应器位置</t>
  </si>
  <si>
    <t>2025.6.23</t>
  </si>
  <si>
    <t>老化仿形插头做错，维护不好拆装</t>
  </si>
  <si>
    <t>全部拆了发给供应商修改重做，现场重新装配，调试</t>
  </si>
  <si>
    <t>顺德三水海尔</t>
  </si>
  <si>
    <t>青岛曼尼科智能科技有限公司</t>
  </si>
  <si>
    <t>PJ231016381</t>
  </si>
  <si>
    <t>阻挡气缸损坏</t>
  </si>
  <si>
    <t>更换固化炉阻挡气缸</t>
  </si>
  <si>
    <t>2025.6.25</t>
  </si>
  <si>
    <t>2025.6.28</t>
  </si>
  <si>
    <t>2025.6.2</t>
  </si>
  <si>
    <t>2025.6.6</t>
  </si>
  <si>
    <t>芜湖智行畅联</t>
  </si>
  <si>
    <t>车载导航自动化（组装）线</t>
  </si>
  <si>
    <t>PJ250310049</t>
  </si>
  <si>
    <t>倍速链运行时发出卡顿声，</t>
  </si>
  <si>
    <t>更换新的轴承</t>
  </si>
  <si>
    <t>2025.6.19</t>
  </si>
  <si>
    <t>缺少三组针模</t>
  </si>
  <si>
    <t>针模待寄</t>
  </si>
  <si>
    <t>缺少两块防护钣金</t>
  </si>
  <si>
    <t>防护钣金在公司漏安装</t>
  </si>
  <si>
    <t>缺少鼠标垫</t>
  </si>
  <si>
    <t>反馈公司邮寄鼠标垫</t>
  </si>
  <si>
    <t>键盘托盘没固定</t>
  </si>
  <si>
    <t>加螺丝安装固定</t>
  </si>
  <si>
    <t>治具安装方向不统一</t>
  </si>
  <si>
    <t>拆掉重新安装</t>
  </si>
  <si>
    <t>扫码枪离倍速链太远 无法自动扫码</t>
  </si>
  <si>
    <t>加装延长线</t>
  </si>
  <si>
    <t>EQEA换档面板测试设备，在测试过程中阻值不稳定，时大时小。</t>
  </si>
  <si>
    <t>排查线路，排查测控转接箱。发现时测控箱里面连接万用表的阻值转换板线没拧紧。重新拧紧线。</t>
  </si>
  <si>
    <t>工装针点对不上，几个针点电压经常测不到</t>
  </si>
  <si>
    <t>正在排查验证中，临时把针掰下，更换尖的探针</t>
  </si>
  <si>
    <t>高勇</t>
  </si>
  <si>
    <t>老化温度过高后，气管不耐高温，气管变形爆开漏气</t>
  </si>
  <si>
    <t>已更换耐高温气管</t>
  </si>
  <si>
    <t>IDC整机OTA升级自动化测试、IDC整机自动化功能测试设备</t>
  </si>
  <si>
    <t>PJ240905776</t>
  </si>
  <si>
    <t>密封圈装反，螺丝漏装</t>
  </si>
  <si>
    <t>重新安装，补齐漏装螺丝</t>
  </si>
  <si>
    <t>测试段、包装段皮带跑出轨道</t>
  </si>
  <si>
    <t>测试段皮带线、包装皮带线已全部更换两头小滚筒防跑偏，更换后3线测试包装皮带线还是有出现跑偏现象，特意买了个激光水平尺加卷尺的方式进行了测量，包装段6米皮带线组装偏差约10mm(长度左右相差），面对面固定脚相差5mm左右，上面灯架面对面固定脚偏差相同；皮带下底部脚架下口只拉了一条3*3的横梁，顶部没有拉横梁加以固定、1.9米高且6米全覆盖式的离子风机等导致架子轻碰即晃动；皮带线组装时没有按照行业要求用角尺横平竖直90度角进行装配导致；其二、底部拖滚轮安装时没有按照相对距离安装平行也会造成皮带过拖轮时偏向性动力造成皮带偏位</t>
  </si>
  <si>
    <t>2025.6.22</t>
  </si>
  <si>
    <t>插件线链条张力没有调整到位，链条卡死：</t>
  </si>
  <si>
    <t>用餐空闲时重新调整到合适位置后正常</t>
  </si>
  <si>
    <t>PJ250429149</t>
  </si>
  <si>
    <t>入料口缺少安全光栅未安装
补料气缸磁铁加工件牙孔为M6气缸螺杆为5MM导致安装不了</t>
  </si>
  <si>
    <t>安全光栅到货安装
反馈PMC联系供应商重做</t>
  </si>
  <si>
    <t>2025.6.11</t>
  </si>
  <si>
    <t>2025.6.16</t>
  </si>
  <si>
    <t>测试针排误测率</t>
  </si>
  <si>
    <t>重寄3n探针更换验证</t>
  </si>
  <si>
    <t>2025.6.3</t>
  </si>
  <si>
    <t>一台机P档紧急按钮阻值异常</t>
  </si>
  <si>
    <t>经过排查发现是探针组件问题，需寄回公司重新压针</t>
  </si>
  <si>
    <t>电柜内空开配置不足</t>
  </si>
  <si>
    <t>公司采购补发</t>
  </si>
  <si>
    <t>长沙金霞比亚迪</t>
  </si>
  <si>
    <t>机械手接收不到到位信号，无法取产品</t>
  </si>
  <si>
    <t>机械手接收不到信号，排查后发现安全信号继电器短路片接触不良螺丝松动导致，拧紧后即可</t>
  </si>
  <si>
    <t>2025.6.27</t>
  </si>
  <si>
    <t>武汉美的暖通</t>
  </si>
  <si>
    <t xml:space="preserve">显示板线款载具回流轨道第2段倍速链不转了 </t>
  </si>
  <si>
    <t>经排查发现是倍速链卡了，调整倍速链及打油后OK</t>
  </si>
  <si>
    <t>老化5工位4通道无电流</t>
  </si>
  <si>
    <t>负载板线路没插好，重新插紧</t>
  </si>
  <si>
    <t>老化28工位4.5通道无电流</t>
  </si>
  <si>
    <t>仿形插头对插头没有插到位，接触不好</t>
  </si>
  <si>
    <t>老化34.35工位无电压，无电流</t>
  </si>
  <si>
    <t>A2B线接头脱落，接触不好，</t>
  </si>
  <si>
    <t>老化38工位6通道无电流</t>
  </si>
  <si>
    <t>负载板无输出，更换负载板</t>
  </si>
  <si>
    <t>老化工位21，43工位仿形插头，跟产品不水平，插入产品不顺畅</t>
  </si>
  <si>
    <t>调整产品载板上下位置</t>
  </si>
  <si>
    <t>老化39，45，48工位仿形插头跟产品不水平，插入产品不顺畅</t>
  </si>
  <si>
    <t>老化工控机临时放在地上验证，未放入机台安装，整理线路</t>
  </si>
  <si>
    <t>安装工控机支架，整理线路</t>
  </si>
  <si>
    <t>老化进板位偶尔出现卡板</t>
  </si>
  <si>
    <t>调整升降机轨道与老化轨道水平</t>
  </si>
  <si>
    <t>电气控制</t>
  </si>
  <si>
    <t>工装通讯不良</t>
  </si>
  <si>
    <t>30个产品载具上RS31机型的刹车测试线接错（需接B2，现在接的B1)，重新接线</t>
  </si>
  <si>
    <t>石岩拓邦</t>
  </si>
  <si>
    <t>FCT&amp;50A自动化测试线</t>
  </si>
  <si>
    <t>PJ250421128</t>
  </si>
  <si>
    <t>新设备安装调试</t>
  </si>
  <si>
    <t xml:space="preserve">协助PLC工程师50A放电测试设备接线改线路 </t>
  </si>
  <si>
    <t>包装工位压坏盒子、人工取出后AGV无反应、无法总控控制回原点：</t>
  </si>
  <si>
    <t>手动将AGV机械臂移动到原点并关机重启，在GDS控制中结束其任务并抢占控制权控制回原后恢复正常：</t>
  </si>
  <si>
    <t>包装工位打印机贴纸没有出到位报警、手动处理后无法继续运行：</t>
  </si>
  <si>
    <t>重启打印机和工控主机，手动取出产品并在GDS内清除任务后，重新下单正常。</t>
  </si>
  <si>
    <t>陈昌冠</t>
  </si>
  <si>
    <t>顺德工厂-ZD028-外销WIFI自动装配线项目</t>
  </si>
  <si>
    <t>PJ240430577</t>
  </si>
  <si>
    <r>
      <rPr>
        <sz val="10"/>
        <rFont val="宋体"/>
        <charset val="134"/>
      </rPr>
      <t>1:客户巡检发现镭雕工位镭雕产品字体及外壳贴纸打印有缺陷字体不全
2:重新调整模板及贴纸字体色号加深投产320pcs发现有10个外壳贴纸贴偏！
3:</t>
    </r>
    <r>
      <rPr>
        <sz val="10"/>
        <rFont val="Times New Roman"/>
        <charset val="134"/>
      </rPr>
      <t> </t>
    </r>
    <r>
      <rPr>
        <sz val="10"/>
        <rFont val="宋体"/>
        <charset val="134"/>
      </rPr>
      <t>泡棉车每一排小格有1~5mm间隙导致取泡棉位置不统一放料放不正！</t>
    </r>
  </si>
  <si>
    <t>1:从新调整镭雕模板镭雕交叉选项未勾选导致字体不清晰！
2:外壳贴标签与回流线治具同步运行时有概率发生贴标与治具不同步现象导致贴纸节拍慢了一点从而贴纸不正，原因还在观察！
3:泡棉车增加了导向出料使泡棉保证统一朝向控制间隙1mm以下验证还是有放泡棉压边放不下的情况，黄平出图增加泡棉治具运载矫正泡棉结构！</t>
  </si>
  <si>
    <t xml:space="preserve">1:料盒送料车由固定坐标走位取料方式变更靠上限感应器检测料盒取料方式！
</t>
  </si>
  <si>
    <t>主要验证料盒上料车取料方式变更稳定性
其余已知问题点结构已出图下单加工件待物料到齐后更换验证</t>
  </si>
  <si>
    <t>991116331-M12 HOXC双头碰焊机（A类）MIL-BP-RW-074</t>
  </si>
  <si>
    <t xml:space="preserve">PJ250226042 </t>
  </si>
  <si>
    <t>生产过程中X轴走动过程中R轴转动导致装机</t>
  </si>
  <si>
    <t>初步判断为后触摸屏程序X13信号取反与正触摸屏程序不一致导致，杜磊远程修改触摸屏程序</t>
  </si>
  <si>
    <t>杜磊</t>
  </si>
  <si>
    <t>P档按压异常</t>
  </si>
  <si>
    <t>重新调整机械手按压行程</t>
  </si>
  <si>
    <t>刘真</t>
  </si>
  <si>
    <t>URE换档操纵机构测试设备，客户工装板放两个产品。但是PLC程序只写了一个产品。</t>
  </si>
  <si>
    <t>PLC陈工更改程序。</t>
  </si>
  <si>
    <t>陈东洲</t>
  </si>
  <si>
    <t>URE换档操纵机构测试设备，倍速链只有一个产品检测感应器。需要加多一个产品检测感应器。</t>
  </si>
  <si>
    <t>加装感应器，PLC陈工优化程序。</t>
  </si>
  <si>
    <t>三代锁功能检测设备</t>
  </si>
  <si>
    <t>PJ241108864</t>
  </si>
  <si>
    <t>改设备一共三款产品，目前客户提供了两款产品。都已调试OK。还差一款产品未提供，无法调试。</t>
  </si>
  <si>
    <t>试跑产品，验证设备功能。验证与倍速链信号交互。</t>
  </si>
  <si>
    <t>EWEA锁体测试设备，设备运行中，无任何报警。但是设备停着不动。</t>
  </si>
  <si>
    <t>PLC和上位机信号交互异常。优化软件。</t>
  </si>
  <si>
    <t>曾均佳</t>
  </si>
  <si>
    <t>PCB放置工序，出现至少3次PCB放置不到位或者掉出情况，且未报警提示;</t>
  </si>
  <si>
    <t>优化改造中。</t>
  </si>
  <si>
    <t>读码测试机-
装上盖时有出现合盖未扣进usb</t>
  </si>
  <si>
    <t>调整优化USB定位夹爪</t>
  </si>
  <si>
    <t>读码测试机-
合上盖工位CT无法满足，待分析动作</t>
  </si>
  <si>
    <t>1.直振产品进入接料载具不顺畅2.抓料逻辑需优化。</t>
  </si>
  <si>
    <t>包装机-
取usb产品位底板出现向下倾斜，导致吸嘴单边无法吸取，无法进行调节</t>
  </si>
  <si>
    <t>吸盘位置下调。</t>
  </si>
  <si>
    <t>包装机-齿形皮带存在检测不到产品的情况</t>
  </si>
  <si>
    <t>重新调整传感器或找合适传感器</t>
  </si>
  <si>
    <t>1.调试机械手产品放取点位和载具产品点位</t>
  </si>
  <si>
    <t>1.对产品按键点位和按压是否到位
2.联机试跑，上位机和PLC通讯过程中光电测试延时ng，上位机这个步骤发生错误，后续重装系统后能正常联机试跑，机械手步骤没问题</t>
  </si>
  <si>
    <t>1.联机自动测试时挂RN和R挡测试不过，按键快换的胶套太滑卡不住，绑上防滑的胶带即可
2.放1快换去取2快换时转了90度，对CD有影响把两个换成同一个方向，重新对机械手点位</t>
  </si>
  <si>
    <t>1.和上位机联机自动测试时未能跑起来，发现plc软件没有更新好在公司未调试过，软件需要改好后发来
2.plc软件改好后边跑边改，测试点位没问题</t>
  </si>
  <si>
    <t>老化対插针模感应器，行程未调试</t>
  </si>
  <si>
    <t>已调整10个工位，正在进行</t>
  </si>
  <si>
    <t>武汉宝新创</t>
  </si>
  <si>
    <t>主机自动线设备</t>
  </si>
  <si>
    <t>PJ240903771</t>
  </si>
  <si>
    <t>2024.10</t>
  </si>
  <si>
    <t>之前的秤重机达不到客户要求进行更换</t>
  </si>
  <si>
    <t>远程PLC工程师上位机工程师进行程序调试</t>
  </si>
  <si>
    <t>增加开关电源，接线</t>
  </si>
  <si>
    <t>安装开关电源卡槽，接线，整理线路</t>
  </si>
  <si>
    <t>黄雷</t>
  </si>
  <si>
    <t>电气联动，微调轨道平行度</t>
  </si>
  <si>
    <t>设备调水平，轨道对齐</t>
  </si>
  <si>
    <t>协助电气工程师调试设备动作</t>
  </si>
  <si>
    <t>微调扫码位置阻挡气缸调，测试位顶升气缸位置</t>
  </si>
  <si>
    <t>自动碰焊机升级(B类)(含夹具、安装、调试）</t>
  </si>
  <si>
    <t>PJ250305047</t>
  </si>
  <si>
    <t>产品碰焊点位变更碰焊方式变更，原有程序不能够实现碰焊</t>
  </si>
  <si>
    <t>杜磊更改碰焊级程序完成</t>
  </si>
  <si>
    <t>2025.6.4</t>
  </si>
  <si>
    <t>双头碰焊机(伺服焊头)(A类)MIL-BP-RW-073</t>
  </si>
  <si>
    <t>PJ250227044</t>
  </si>
  <si>
    <t>设备生产过程中出现R轴旋转撞机现象，判断为X轴移动过程中R轴旋转过快导致X轴未走出焊头碰焊位撞机</t>
  </si>
  <si>
    <t>临时方案R轴自动速度降低X轴速度提速，反馈杜磊优化程序增加条件限制</t>
  </si>
  <si>
    <t>2025.6.20</t>
  </si>
  <si>
    <t>设备生产过程中出现R轴旋转撞机现象，经调监控发现为员工操作未取走产品但已取走散件电池三次，以至于设备内存在三个已碰焊产品取走第一个后X轴同步运动导致R轴撞机</t>
  </si>
  <si>
    <t>杜磊优化程序增加防呆功能，取走第一个产品X轴R轴保持不动作待第二个产品放下后Z轴上升到位信号检测再给与X轴R轴信号动作</t>
  </si>
  <si>
    <t>功能测试机</t>
  </si>
  <si>
    <t>PJ250516173</t>
  </si>
  <si>
    <t>设备调试电机动作不顺畅，PMC紧急调用家里设备电机及驱动器发往现场替换调试</t>
  </si>
  <si>
    <t>临时调试完成交付客户使用，待客户CPK完成后优化测试完成后需给PASS长亮灯提示</t>
  </si>
  <si>
    <t>2025.6.24</t>
  </si>
  <si>
    <t>1：储存数据无法下载到U盘
2：报警记录日期选项错误，储存页面日期选项为报警记录日期选项
3:测试NG需报警同时蜂鸣器响声3秒</t>
  </si>
  <si>
    <t>杜磊优化程序完成，与客户确认验证可行</t>
  </si>
  <si>
    <t>优化机械手程序</t>
  </si>
  <si>
    <t>93秒优化到80秒</t>
  </si>
  <si>
    <t>李磊</t>
  </si>
  <si>
    <t>料盘用完后只有提示没有报警</t>
  </si>
  <si>
    <t>修改PLC程序</t>
  </si>
  <si>
    <t>蔡柯丙</t>
  </si>
  <si>
    <t>6号工位左夹持取料气缸报警</t>
  </si>
  <si>
    <t>夹料位置不居中，微调X轴坐标</t>
  </si>
  <si>
    <t>客户提出设备不使用的时候链条不能转</t>
  </si>
  <si>
    <t>联系电气王子豪远程更改程序。</t>
  </si>
  <si>
    <t>王子豪</t>
  </si>
  <si>
    <t>1:测试验证电源输出4.2v到产品端仅剩3.9v左右导致产品测试不良
2:设备日光灯不可控
3:设备报警记录较多
4:测试软件与PLC信号交互异常</t>
  </si>
  <si>
    <t>1:电源到控制板多了一个二极管导致减少了0.3v左右，拆除一个二极管后正常
2:杜磊优化程序新增日光灯开关按钮
3:阻挡安全光栅不纳入报警记录仅作为触摸屏提示
4:测试与PLC信号交互现场解决</t>
  </si>
  <si>
    <t>BMS刷写系统（硬件）,KingCable 信息化智能管理系统软件,EOL测试系统（硬件）,Kingcable NXI 高速数据采集系统测试驱动及操作软件V1.0</t>
  </si>
  <si>
    <t>测试王工优化测试软件，PLC优化动作。尽可能的去减少测试时间。</t>
  </si>
  <si>
    <t>PIC和测试交互问题，曾工优化程序。</t>
  </si>
  <si>
    <t>1硬件没问题，新添加的测试文档未设置好导致测试不过的，已设置好
2.配合测试远程修改程序，已删除该功能</t>
  </si>
  <si>
    <t>测试，电气，</t>
  </si>
  <si>
    <t>测试工程师远程协助改善软件</t>
  </si>
  <si>
    <t>M12插仔测试不稳定，内部焊接易脱焊导致测试不良</t>
  </si>
  <si>
    <t>客户提供两个新款M12插仔从新焊接更换测试待验证</t>
  </si>
  <si>
    <t>中间工位测试较多不良现象，功率分析仪频繁掉线导致</t>
  </si>
  <si>
    <t>更换功率分析仪方口通讯线待观察生产状态</t>
  </si>
  <si>
    <t>测试时间约420秒过久工艺要求为380秒以下，肖工修改了测试读电流时间500ms增加了读取失败复测功能导致</t>
  </si>
  <si>
    <t>测试时间太久达不到产能客户要求变更150ms</t>
  </si>
  <si>
    <t>客户内部网线插入设备接口无法通信读取网关，设备接入网口接入交换机，交换机已使用IP导致内网线无IP可用</t>
  </si>
  <si>
    <t>反馈测试刘伟下单采购一拖二USB扩展卡及USB转网口线</t>
  </si>
  <si>
    <t xml:space="preserve">M12-M18 MBSC 成品功率测试设备                         </t>
  </si>
  <si>
    <t xml:space="preserve">PJ250121006  </t>
  </si>
  <si>
    <t>交流接触器压差大国，客户产品测试要求较为精密压差过大导致测试不良较多，讨论方案左右通道合计增加12组继电器及继电器控制板切断负载回显</t>
  </si>
  <si>
    <t>反馈结构下单改造所需物料
1：2块继电器固定板
2：继电器24个
3:EOL增加两块控制板</t>
  </si>
  <si>
    <t>测试产品负载电流经过交流接触器后有0.2压差导致负载无法拉起电流测试不良</t>
  </si>
  <si>
    <t>客户提供两个交流接触器更换测试验证有明显效果好转，负载回显线路全部更换到交流接触器下端接通回显线路</t>
  </si>
  <si>
    <t>更换交流接触器测试验证依然有0.1左右压差，客户产品测试要求较为精密压差过大还是存在测试不过现象</t>
  </si>
  <si>
    <t>第一方案反馈刘伟采购精密交流接触器更换验证，第二方案左右通道合计增加12组继电器及继电器控制板切断负载回显</t>
  </si>
  <si>
    <t>EOL功能测试机</t>
  </si>
  <si>
    <t>PJ250121007</t>
  </si>
  <si>
    <t>两台设备所有M12插仔探针更换新款探针</t>
  </si>
  <si>
    <t>更换完成，待测试验证接触稳定性</t>
  </si>
  <si>
    <t>右锁体测试设备，产品到位了。设备停止不动。</t>
  </si>
  <si>
    <t>曾工程序监控，发现时上位机这边测试信号没发。王工优化测试程序。</t>
  </si>
  <si>
    <t>王龙飞</t>
  </si>
  <si>
    <t>EWEA锁体初始位工位，在测试过程中经常会报警解锁气缸未到位。</t>
  </si>
  <si>
    <t>排查发现产品上全锁未上到位。后续产品到站以后，和客户沟通需要上全锁到位。</t>
  </si>
  <si>
    <t>EWEA锁体测试设备，客户拿来新款ET锁体过来测试。发现外开,内开测试NG。</t>
  </si>
  <si>
    <t>排查发现中控锁没上到位，ET锁体上12V的电有可能上不了中控锁。与客户沟通上14V电能成功上中控锁。</t>
  </si>
  <si>
    <t>EWEA锁体测试，客户要求测试流程更加直观的显示出OK或者NG。</t>
  </si>
  <si>
    <t>上位机王工优化测试软件，优化测试流程。</t>
  </si>
  <si>
    <t xml:space="preserve">打印标签工位频繁打印超时 </t>
  </si>
  <si>
    <t>颜耀松</t>
  </si>
  <si>
    <t>打印机位置，二维码不出来或二维码剪切后负压
异第;</t>
  </si>
  <si>
    <t>1.和上位机联机试跑优化CD、流畅度
2.排查上下联机线点位是否正确（接线没问题）</t>
  </si>
  <si>
    <t>梁昭</t>
  </si>
  <si>
    <t>上位机can通讯发送失败</t>
  </si>
  <si>
    <t>1.上位机测试时报文发送失败，前面测试时没问题，后面上no挡电失败发现产品有一个针脚歪了，掰正之后测试也不行，把kc8000的相子拆开未发现异常</t>
  </si>
  <si>
    <t>1.把另外一台机的kc8000的盒子和测试线换过来，测另一款产品，也是can报文发送失败，电压和导通都是正常的，未发现问题点</t>
  </si>
  <si>
    <t>通讯，干扰音频未验证</t>
  </si>
  <si>
    <t>EOL设备通讯验证，干扰音频验证，改线验证。</t>
  </si>
  <si>
    <t>PLC,上位机自动联跑未调试</t>
  </si>
  <si>
    <t>烧录，FCT已调试完，EOL,听音正在进行中</t>
  </si>
  <si>
    <t>老化IO模块验证完，所有网线，USB线重新走线规划整理</t>
  </si>
  <si>
    <t>正在进行中</t>
  </si>
  <si>
    <t>老化CNA卡通讯线接错</t>
  </si>
  <si>
    <t>重新接线，正在进行中</t>
  </si>
  <si>
    <t>A3P1ISO设备批量跑料生产跟线</t>
  </si>
  <si>
    <t>更换双绞测试线验证</t>
  </si>
  <si>
    <t>检测位工装调试，</t>
  </si>
  <si>
    <t>微调探针模组</t>
  </si>
  <si>
    <t>程传论</t>
  </si>
  <si>
    <t>东莞浩永</t>
  </si>
  <si>
    <t>空调执行器性能检查机</t>
  </si>
  <si>
    <t>PJ240312126</t>
  </si>
  <si>
    <t>设备检测功能不稳定</t>
  </si>
  <si>
    <t>微调旋转轴的转动角度</t>
  </si>
  <si>
    <t>李增欢</t>
  </si>
  <si>
    <t>老化后测试不良较多，</t>
  </si>
  <si>
    <t>将高压电源线更换成带屏蔽的线跟进观察中</t>
  </si>
  <si>
    <t>老化后前工位电机固高伺服测不过，</t>
  </si>
  <si>
    <t>将测试柜拆下排查线路</t>
  </si>
  <si>
    <t>老化4号位报485接触不良，将所有485线路排查</t>
  </si>
  <si>
    <t>老化前噪音测试不稳定，咪头顶到产品了，将咪头后移并打胶固定</t>
  </si>
  <si>
    <t>增加新机型，老化测试脚本制作并测试与优化脚本</t>
  </si>
  <si>
    <t>可使用</t>
  </si>
  <si>
    <t>增加新机型，安规与老化前测试、老化后测试脚本制作</t>
  </si>
  <si>
    <t>功能测试机MIL-BC-EOLT-001升级</t>
  </si>
  <si>
    <t>PJ250520179</t>
  </si>
  <si>
    <t>设备测试电流偏下限导致偶尔测试不过</t>
  </si>
  <si>
    <t>负载线延长增加阻抗</t>
  </si>
  <si>
    <t>肖英明</t>
  </si>
  <si>
    <t>2025.6.5</t>
  </si>
  <si>
    <t>EOL性能测试机</t>
  </si>
  <si>
    <t>客户反馈第二工位测试百分百不良，经排查于110项读不到电压值导致</t>
  </si>
  <si>
    <t>更换USB测试线恢复正常生产</t>
  </si>
  <si>
    <t>临时增加六组继电器将负载回显单独隔开控制验证测试功能，</t>
  </si>
  <si>
    <t>与客户确认改造方案及验证方案可行性</t>
  </si>
  <si>
    <t>刘伟、</t>
  </si>
  <si>
    <t>2025.6.8</t>
  </si>
  <si>
    <t>EOL测试机双工位增加12个继电器控制负载回显功能</t>
  </si>
  <si>
    <t>改造完成</t>
  </si>
  <si>
    <t>M12-M18 MBSC 成品功率测试设备</t>
  </si>
  <si>
    <t>PJ250121006</t>
  </si>
  <si>
    <t>客户新提出要求接触器与CC-CP继电器控制需分开点位控制</t>
  </si>
  <si>
    <t>两工位增加8个控制点改线完成</t>
  </si>
  <si>
    <t>跟进客户产品试制</t>
  </si>
  <si>
    <t>已试制完成（由于设备上的产品线束坏了只能用人工进行测试）</t>
  </si>
  <si>
    <t>验证动作是否有报文输出</t>
  </si>
  <si>
    <t>1.产品报文能正常测试到，但是有时候无法发送，通过排查发现产品插头接触不良，原因是压装气缸只压到产品的一端，插头那一端没有到单位导致的，需要压到另一边已和机械反馈加长一边的压装</t>
  </si>
  <si>
    <t>综合测试设备_非标</t>
  </si>
  <si>
    <t>PJ240204075</t>
  </si>
  <si>
    <t>客户反馈测试内阻ng</t>
  </si>
  <si>
    <t>通过排查发现测不过的产品有一个继电器没有动作电流显示只有一半，导致内阻阻值显示无穷大，原因是产品继电器的线束插头没有插到位导致，换了一根插头后测试正常很稳定</t>
  </si>
  <si>
    <t>2025.6.12</t>
  </si>
  <si>
    <t>宁波比亚迪</t>
  </si>
  <si>
    <t>EOL综合性能测试仪</t>
  </si>
  <si>
    <t>PJ250418124</t>
  </si>
  <si>
    <t>旧设备软件测试不过</t>
  </si>
  <si>
    <t>客户工程师认为设备问题，排查设备后并未发现问题，让客户自行检查软件</t>
  </si>
  <si>
    <t>张浩</t>
  </si>
  <si>
    <t>FCT设备，接驳筛选一体机</t>
  </si>
  <si>
    <t>配合测试工程师黄工进行产品测试项验证</t>
  </si>
  <si>
    <t>黄云华</t>
  </si>
  <si>
    <t>烧录测试CT达不到技术要求</t>
  </si>
  <si>
    <t>远程优化烧录程序</t>
  </si>
  <si>
    <t>485查分信号超标</t>
  </si>
  <si>
    <t>更换老化后弱电测试板，并增加485差分信号接线</t>
  </si>
  <si>
    <t>深汕比亚迪</t>
  </si>
  <si>
    <t>压缩机测试台架</t>
  </si>
  <si>
    <t>PJ241205909</t>
  </si>
  <si>
    <t>客户反馈压缩机测试软件缺少检测功能，需增加检测项目。</t>
  </si>
  <si>
    <t>远程给软件工程师增加检测功能</t>
  </si>
  <si>
    <t>庄松滨</t>
  </si>
  <si>
    <t>机械、电器</t>
  </si>
  <si>
    <t>产品压紧接触面使用铁氟龙粘贴临时方案不可行压紧接触久了易融
偶尔有实测值偏低现象与读取测试值相差6度左右</t>
  </si>
  <si>
    <t>判断为产品启动测试过程中一直旋转震动导致单向压块持续受力摩擦，反馈结构从新制作压块嵌入优力胶形式(与客户确认可收费改造)
角度测试实测值为设备编码器读取，实际读取值为客户产品自供读取反馈，初步判断为编码器异常问题导致待监控程序观察</t>
  </si>
  <si>
    <t>991006332-阻抗检查夹具升级(D类)夹具</t>
  </si>
  <si>
    <t>PJ250116968</t>
  </si>
  <si>
    <t>测试线及电源线缺少固定环</t>
  </si>
  <si>
    <t>知会黄平新增五组测试、电源线固定环，本项目基本完成待验收</t>
  </si>
  <si>
    <t>1:客户说明书薄厚不一最厚有4mm厚度，发说明书结构不易调试难度较大，送料皮带张紧太松说明书易打滑跑偏及双发现象太紧易出现划痕卷边且上皮带过紧无法带动！
2:回流治具阻挡工位接近开关检测有盲区治具底部有方形孔洞导致检测不准确！
3:抓取空包装失败频繁出现。严重影响CT。
4:泡棉组装偶尔出现放不到位的情况</t>
  </si>
  <si>
    <t>1:反馈黄平从新评估发卡机结构优化出图改造！
2:接近开关更换对向安装避开盲区！
3:陈昌冠优化程序，上升模组原点上抬3mm使送料整体上升！
4:由悬空破真空放料改为放料到位后破真空效果有所缓解！</t>
  </si>
  <si>
    <t>黄平</t>
  </si>
  <si>
    <t xml:space="preserve">机械手取完料后等待载具进入缓存工位时间过久 </t>
  </si>
  <si>
    <t>载具缓存工位改变往动作较多的工位靠拢节约机械手取完料后等待时间</t>
  </si>
  <si>
    <t>两台设备安全光栅密度为20MM，客户现场所有设备安全规格为10MM，结构下单错误导致现场为20MM</t>
  </si>
  <si>
    <t>功率测试机安全光栅更换完成</t>
  </si>
  <si>
    <t xml:space="preserve">991116331-M12 HOXC双头碰焊机(伺服焊头)(A类)MIL-BP-RW-073  </t>
  </si>
  <si>
    <t xml:space="preserve">PJ250227044 </t>
  </si>
  <si>
    <t xml:space="preserve">设备生产出现治具压电池破皮现象
</t>
  </si>
  <si>
    <t xml:space="preserve"> 治具上盖板拆卸打磨弧形倒角便于更顺压入电池防止下压过程中摩擦电池表面！
</t>
  </si>
  <si>
    <t>设备没有止回器</t>
  </si>
  <si>
    <t>机械下单购买</t>
  </si>
  <si>
    <t>下层倍速链不转异响</t>
  </si>
  <si>
    <t>倍速链松动</t>
  </si>
  <si>
    <t>机械外发</t>
  </si>
  <si>
    <t>EQEA换档面板测试设备，客户反应设备散热不行。需要优化。本来设备侧面是有散热风扇，但是两台设备合并在一起，风扇就起不了啥作用了。</t>
  </si>
  <si>
    <t>反馈给结构黄工，需要业务同意才能做更改。此问题不优化的话，会影响到后期验收。</t>
  </si>
  <si>
    <t>EQEA换档面板测试设备，在测试过程中RN档，RD档报文经常测试NG。</t>
  </si>
  <si>
    <t>调整机械手坐标以后还是不稳定。客户要求更改夹持固定产品方式。产品一边固定死，一边用气缸顶死，产品上方用气缸压住。</t>
  </si>
  <si>
    <t>URE窗控测试设备，旋转电机。产品检测感应器，没有固定，用双面胶粘的。</t>
  </si>
  <si>
    <t>反馈给结构卿林，需要做固定感应器支架。</t>
  </si>
  <si>
    <t>客户EWEA产品结构更改。</t>
  </si>
  <si>
    <t>客户拉了电话会议，黄平重新做固定产品销钉。</t>
  </si>
  <si>
    <t>等待发说明书工位 频繁超时。卡坏说明书3本</t>
  </si>
  <si>
    <t>客户来料问题</t>
  </si>
  <si>
    <t>发说明书工位 磨花说明书背面字体。</t>
  </si>
  <si>
    <t>装产品工位取产品气缸超时</t>
  </si>
  <si>
    <t>精调试结构以及点位后，观察验证中。</t>
  </si>
  <si>
    <t>经验证凯盛包装盒公差过大，装车太紧导致升降轴无法顶起</t>
  </si>
  <si>
    <t>压装后出现鼓包、扣位损坏或者缝隙大的</t>
  </si>
  <si>
    <t>包装机-
B区取包装盒存在吸嘴单边吸不上产品，逻辑动作逻辑会把另外一边吸取到的产品抛NG</t>
  </si>
  <si>
    <t>更换风琴吸盘，已下单购买</t>
  </si>
  <si>
    <t>包装机-
当出现泡棉或者产品未放到位的时候，影响后工位的发说明书，建议在放完产品后增加弹簧压板下压整形平整。</t>
  </si>
  <si>
    <t>增加左右导向轨道，以及刮料机构。</t>
  </si>
  <si>
    <t>包装机-
说明书料道厚度调节，调节困难，同时如调节不到会出现发重叠两本说明书同步出来，或发说明书挂料道或对产品有白色划痕，同时泡棉或产品未放到位存在影响说明发放。</t>
  </si>
  <si>
    <t>难度较大，还在评审中。</t>
  </si>
  <si>
    <t>包装机-CT较慢(目前无故障UPH预计为380pcs)</t>
  </si>
  <si>
    <t>1.皮带速度加快(已优化);2.载具流动逻辑继续优化(已优化部分)</t>
  </si>
  <si>
    <t>缩短上下料阻挡气缸距离。</t>
  </si>
  <si>
    <t>打孔安装完成</t>
  </si>
  <si>
    <t>1.检查设备有无缺少的结构件
2.配合上位机调试设备</t>
  </si>
  <si>
    <t>1.两边门感应器缺少铝型材固定
2.产品夹爪缺少感应器固定支架
3.产品端子气缸有一个气管调节阀漏气需要更换（已反馈催物料）
4.安装视觉软件</t>
  </si>
  <si>
    <t>1.客户反馈测试ok后有时没给取料信号导致机械手不拿料</t>
  </si>
  <si>
    <t>测试台安全信号继电器灯有正常输出点亮，机械手那边有时接收延时，和电气沟通，电气说只要继电器灯有亮就是正常的</t>
  </si>
  <si>
    <t>ICT皮带跑偏，容易脱落，惰轮歪斜</t>
  </si>
  <si>
    <t>更换大齿形皮带，更换惰轮</t>
  </si>
  <si>
    <t>王永峰</t>
  </si>
  <si>
    <t>对插工装插不到位，有偏差</t>
  </si>
  <si>
    <t>调整对插工装位置</t>
  </si>
  <si>
    <t>临时铣掉载板10mm</t>
  </si>
  <si>
    <t>老化対插针模位置不水平，有卡顿，不顺畅</t>
  </si>
  <si>
    <t>已调整25个工位，正在进行</t>
  </si>
  <si>
    <t>拆除之前的称重机，安装新秤重机</t>
  </si>
  <si>
    <t>秤重机前阻挡气缸未起作用</t>
  </si>
  <si>
    <t>调整阻挡气缸位置，更改气缸电磁阀控制线到秤重机控制</t>
  </si>
  <si>
    <t>FCT设备移栽机两边都挡住了，不好调试维护</t>
  </si>
  <si>
    <t>沟通公司机械工程制作压条，电源箱翻个面留出空间方便维修，调试</t>
  </si>
  <si>
    <t>FCT设备电缸金手指探针插到位了，PCB板没有到位的异常</t>
  </si>
  <si>
    <t>金手指PCB板弹簧换成垫片增加伸出长度后OK</t>
  </si>
  <si>
    <t>平移机，转角机及接驳台</t>
  </si>
  <si>
    <t>设备进行通气通电，轨道链条，气缸，传感器等进功能验证设备轨道链条，气缸，传感器等进功能验证</t>
  </si>
  <si>
    <t>客户要求搬迁线体</t>
  </si>
  <si>
    <t>线体打水平，调轨道</t>
  </si>
  <si>
    <t>客户要求后段接驳台移至前段</t>
  </si>
  <si>
    <t>拆除信号线，气管，挪动设备位置</t>
  </si>
  <si>
    <t>测试探针模组定位柱偏移导致插不进载具定位孔</t>
  </si>
  <si>
    <t>定位柱固定孔铣成腰孔，方便微调</t>
  </si>
  <si>
    <t>设备之间需要用板金件连接在一起，</t>
  </si>
  <si>
    <t>安装设备之间的连接板固定位置</t>
  </si>
  <si>
    <t>空气密封结构件漏改牙导致气管接头无法安装</t>
  </si>
  <si>
    <t>拆除密封结构件返修重新攻牙，重新安装</t>
  </si>
  <si>
    <t>工装载板漏安装导致无法正常工作使用</t>
  </si>
  <si>
    <t>重新制作工装载板，重新安装</t>
  </si>
  <si>
    <t>启动，急停按钮挪位置</t>
  </si>
  <si>
    <t>重新安装按钮钣金件</t>
  </si>
  <si>
    <t>机器人</t>
  </si>
  <si>
    <t>帮忙拆除仿形插头，</t>
  </si>
  <si>
    <t>顺德美的高创</t>
  </si>
  <si>
    <t>设备正常测试时烧保险烧坏电源</t>
  </si>
  <si>
    <t>更换新的保险座，更换新的开关电源</t>
  </si>
  <si>
    <t>将所有载板增加TYPE-C数据线</t>
  </si>
  <si>
    <t>两台设备方向不一样，更换结构件使方向一致</t>
  </si>
  <si>
    <t>更换完成后出料罩子无法安装，已联系周向敬重做</t>
  </si>
  <si>
    <t>点胶机出胶重量不稳定</t>
  </si>
  <si>
    <t>调整压电阀下降时间和开阀时间较量可以控制在8-9mg范围内;</t>
  </si>
  <si>
    <t>2025.6.21</t>
  </si>
  <si>
    <t>停机后首次点胶1、2、3个不圆</t>
  </si>
  <si>
    <t>连续点胶也是1、2、3个不圆，后面21个点都比较圆，压电阀的参数控制不对。</t>
  </si>
  <si>
    <t>点胶检测圆度要求未体现、未存储检测记录无法追溯</t>
  </si>
  <si>
    <t>联系人员外包工程师优化增加圆度检测数值显示，软件检测记录无法实现，需要重新编写软件后才能实现。</t>
  </si>
  <si>
    <t>机械软件外发</t>
  </si>
  <si>
    <t>ICT FCT更换皮带同步轮</t>
  </si>
  <si>
    <t>1线自动线1台ICT 3台FCT已全部更换新改的皮带和同步轮,电机同步轮长度超出两端同步轮约 2mm,现场打磨后安装可用,;张力调节轮因固定螺丝长度不够沿用了旧的轮子和螺丝,轨道垫高后担心测试时板子会压皮带,观察了一天没有出现皮带跑偏及断皮带的现象，皮带有一定程度的受压现象。</t>
  </si>
  <si>
    <t>回流皮带线有异响和明显滚筒不良</t>
  </si>
  <si>
    <t>更换了有异响和明显滚筒不良的前后滚筒，跟进调整运行一天没有出现跑偏和异常。</t>
  </si>
  <si>
    <t>ICT FCT平移机阻挡占用轨道范围、电容高的产品无法通过，影响产品运行。</t>
  </si>
  <si>
    <t>重新制作采购测试类型阻挡更换：</t>
  </si>
  <si>
    <t>马丁分板机分板载具验证</t>
  </si>
  <si>
    <t>原设备只提供一套载具，自己设计两套载具 1583、832两款</t>
  </si>
  <si>
    <t>判断为产品启动测试过程中一直旋转震动导致单向压块持续受力摩擦，反馈结构从新制作压块嵌入优力胶形式(与客户确认可收费改造)</t>
  </si>
  <si>
    <t>曾伟立</t>
  </si>
  <si>
    <t>2025.6.18</t>
  </si>
  <si>
    <t>M12系列自动碰焊机入料口安全维修</t>
  </si>
  <si>
    <t>PJ250516171</t>
  </si>
  <si>
    <t>客户下单改造设备入料口需增加安全防护措施
(已改一台，余下八台）</t>
  </si>
  <si>
    <t>pvc板安装光栅走线有干涉，反馈黄平后续图纸修改避让光栅线路</t>
  </si>
  <si>
    <t>2025.6.29</t>
  </si>
  <si>
    <t>M12公头插仔与产品母头插仔较多插坏插仔导致插不进现象，产品母头插仔存在左右高低不平公头插仔未能矫正</t>
  </si>
  <si>
    <t>反馈黄平从新制作两个插仔向内压缩两边各0.25mm确保矫正产品避免插边导致插仔损坏</t>
  </si>
  <si>
    <t>M12插仔易损导致接触不良测试NG较多</t>
  </si>
  <si>
    <t>两台设备更换M12插仔5个</t>
  </si>
  <si>
    <t>产品测试完成插仔在有损坏的情况下容易卡住产品无法拔出上升情况</t>
  </si>
  <si>
    <t>左右工位各增加一个压产品气缸，硬件相关安装完成待增加程序动作优化！两台设备改造完成</t>
  </si>
  <si>
    <t>取料Z轴上线槽型感应器EE-SX674-WRS48d损坏，客户提供感应器更换</t>
  </si>
  <si>
    <t>反馈工程师下单采购等同传感器归还客户</t>
  </si>
  <si>
    <t>固化炉高温探头装的位置不对，探头显示温度100°实际只有85</t>
  </si>
  <si>
    <t>把高温探头装到轨道上\外发老池</t>
  </si>
  <si>
    <t>点胶机抓取MARK点失败</t>
  </si>
  <si>
    <t>待点胶机厂家修改软件  外发聚鑫视</t>
  </si>
  <si>
    <t>配电柜没有垫脚</t>
  </si>
  <si>
    <t>现场重新定制安装</t>
  </si>
  <si>
    <t>武汉美的空调外机2线设备皮带频繁损坏，导致产品损坏等异常问题</t>
  </si>
  <si>
    <t>更换公司寄过来新款同步轮，皮带等并跟进使用效果</t>
  </si>
  <si>
    <t>显示板线提升机进出料卡载具异常</t>
  </si>
  <si>
    <t>经排查卡载具发现链条调紧了导致卡，调整链条松紧度并打油后OK</t>
  </si>
  <si>
    <t>显示板线款载具回流轨道卡载具</t>
  </si>
  <si>
    <t>经排查发现是轨道对接处有偏差，调整轨道位置后已OK</t>
  </si>
  <si>
    <t>CT中间扫码位置安装在中间造成运行时间长,CT未满足</t>
  </si>
  <si>
    <t>ICT中间扫码位置更改到进板位</t>
  </si>
  <si>
    <t>空调内机板在线双工位测试设备</t>
  </si>
  <si>
    <t>PJ231219465</t>
  </si>
  <si>
    <t>安装光栅</t>
  </si>
  <si>
    <t>3个项目所有测试设备门口安装光栅</t>
  </si>
  <si>
    <t>2025.6.7</t>
  </si>
  <si>
    <t>检测位工装调试，针模对不上,接触不良</t>
  </si>
  <si>
    <t>探针仿型定位重做</t>
  </si>
  <si>
    <t>芜湖美智</t>
  </si>
  <si>
    <t>电子分厂外机测试自动化项目</t>
  </si>
  <si>
    <t>PJ220330128</t>
  </si>
  <si>
    <t>更换新同步轮，惰轮，皮带，轨道加垫片</t>
  </si>
  <si>
    <t>2025.6.14</t>
  </si>
  <si>
    <t>显示屏一体机安装固定板螺丝孔尺寸错误，</t>
  </si>
  <si>
    <t>重新打孔攻牙，安装一体机</t>
  </si>
  <si>
    <t>人工操作台没有预留走线孔，</t>
  </si>
  <si>
    <t>人工操作台重新打走线牙孔</t>
  </si>
  <si>
    <t>人工操作台没有预留手环报警器安装牙孔</t>
  </si>
  <si>
    <t>重新打手环报警器安装牙孔，按装手环报警器</t>
  </si>
  <si>
    <t>整线没有预留联接固定牙孔</t>
  </si>
  <si>
    <t>重新打牙孔，整线联机</t>
  </si>
  <si>
    <t>螺丝机安全门打开时卡顿</t>
  </si>
  <si>
    <t>将安全门销孔往一边铣</t>
  </si>
  <si>
    <t>EQEA换档面板测试设备，在测试过程中RN档，RD档报文经常测试NG。测试值不稳定。</t>
  </si>
  <si>
    <t>联系结构黄光磊，优化产品固定方式。（重新做配件）</t>
  </si>
  <si>
    <t>黄光磊</t>
  </si>
  <si>
    <t>2025.6.9</t>
  </si>
  <si>
    <t>更换第一台机，固定产品结构由两边加持更改为从上往下压紧方式。调试机械手点位，跑产品验证稳定性。</t>
  </si>
  <si>
    <t>窗控测试设备CT严重不够，客户要求45秒。目前设备整体跑下来需要80秒。</t>
  </si>
  <si>
    <t>测试王龙飞优化软件。PLC陈东周优化机械手动作。双方信号交互时间做优化。结构增加倍速链缓存机构。</t>
  </si>
  <si>
    <t>周向敬</t>
  </si>
  <si>
    <t>窗控测试设备CT严重不够，客户要求45秒。目前设备整体跑下来需要100秒。</t>
  </si>
  <si>
    <t>测试王龙飞优化软件。PLC陈东周优化机械手动作。双方信号交互时间做优化。结构增加倍速链缓存机构。经过一系列优化，目前CT能达到70秒。</t>
  </si>
  <si>
    <t>经过一系列优化CT达到70秒。已经到极限了。客户说是不接受要退机，业务尹工和客户沟通。</t>
  </si>
  <si>
    <t>线体试跑，初始工位报警频繁。</t>
  </si>
  <si>
    <t>锁体存在差异，找客户沟通。调整气缸行程。</t>
  </si>
  <si>
    <t>增加遮挡钣金</t>
  </si>
  <si>
    <t>打孔攻牙安装老化后测试电机钣金件，并将电机固定在钣金件上。</t>
  </si>
  <si>
    <t>李维</t>
  </si>
  <si>
    <t>外机电控自动化测试线（含软硬件）</t>
  </si>
  <si>
    <t>客户要求所有门板增加光栅</t>
  </si>
  <si>
    <t>3条输送线光栅安装固定</t>
  </si>
  <si>
    <t>2号测试位倍速链异响卡链，</t>
  </si>
  <si>
    <t>调整倍速链松紧</t>
  </si>
  <si>
    <t>PJ250326087</t>
  </si>
  <si>
    <t>机台上下轨道与前机台无法对齐，载板无法正常通行；上轨道两边不平行，有一边相对前机台轨道偏高。</t>
  </si>
  <si>
    <t>机台打水平，轨道调平行与前机台对接</t>
  </si>
  <si>
    <t xml:space="preserve">客户反馈有一台设备的冷媒机在开抽真空是出现跳闸烧保险问题， </t>
  </si>
  <si>
    <t>供应商寄了新的真空泵现场，1号机更换新的真空泵。</t>
  </si>
  <si>
    <t xml:space="preserve">工装载板这个位置客户要求孔位要扩大不能有干涩，顶升气缸平台也要镂空，不能干涉到这根ntc，下午工装载板已拉回公司返修， </t>
  </si>
  <si>
    <t>皮带线灯管缺少</t>
  </si>
  <si>
    <t>供应商供货不足,收发货没点数量</t>
  </si>
  <si>
    <t>计建军</t>
  </si>
  <si>
    <t>电线槽连接件分开装箱海关扣押</t>
  </si>
  <si>
    <t>现场重新定制采购</t>
  </si>
  <si>
    <t>面板测试设备CT严重不够，客户要求45秒。目前设备整体跑下来需要80秒。</t>
  </si>
  <si>
    <t>PLC和上位机优化程序。光色相机优化视觉软件</t>
  </si>
  <si>
    <t>尹扬飞</t>
  </si>
  <si>
    <t>URE换档操纵机构测试设备，测试换档机构需要档把和面板一起测试。没有做固定面板的工装，只接了测试线束。客户要求增加面板的测试工装。</t>
  </si>
  <si>
    <t>客户拉了电话会议，业务尹工。同意做面板工装</t>
  </si>
  <si>
    <t>美的洗涤电器wifi线</t>
  </si>
  <si>
    <t>PJ240201058</t>
  </si>
  <si>
    <t>由于线体搬迁设备挪动，机器人1需要重新调试点位。</t>
  </si>
  <si>
    <t>测试机机器人1点位调试中</t>
  </si>
  <si>
    <t>邱林涛</t>
  </si>
  <si>
    <t>由于线体搬迁设备挪动，机器人1-2需要重新调试点位。</t>
  </si>
  <si>
    <t xml:space="preserve">测试机机器人1点位调试调试完成 </t>
  </si>
  <si>
    <t>由于线体搬迁设备挪动，分板机机器人需要重新调试点位</t>
  </si>
  <si>
    <t>分板机A治具点位调试完成</t>
  </si>
  <si>
    <t>分板机B治具点位调试完成</t>
  </si>
  <si>
    <t>由于线体搬迁设备挪动，打包摆盘机器人需要重新调试点位</t>
  </si>
  <si>
    <t>打包摆盘机器人点位调试完成</t>
  </si>
  <si>
    <t>重庆美的</t>
  </si>
  <si>
    <t>025-重庆工厂-JG008-88新品-FCT测试系统新购项目</t>
  </si>
  <si>
    <t>PJ250513165</t>
  </si>
  <si>
    <t>改造项目现场安装仪器支架</t>
  </si>
  <si>
    <t>2台FCT测试设备每台安装5个测试仪器放置支架，现场开孔攻牙。</t>
  </si>
  <si>
    <t>2025.6.26</t>
  </si>
  <si>
    <t>Gang Box成品功率测试机 (A类: MIL-BCFPPT-009)</t>
  </si>
  <si>
    <t>更换新插仔加工件验证损坏现象</t>
  </si>
  <si>
    <t>待持续生产验证</t>
  </si>
  <si>
    <t>龙光传</t>
  </si>
  <si>
    <t>北京合康</t>
  </si>
  <si>
    <t>BMS 设备</t>
  </si>
  <si>
    <t>PJ240710688</t>
  </si>
  <si>
    <t>BMS</t>
  </si>
  <si>
    <t>设备电源开关板，螺丝全部掉了。设备线束杂乱。</t>
  </si>
  <si>
    <t>重新装配螺丝，整理线束。</t>
  </si>
  <si>
    <t>黎佩峰</t>
  </si>
  <si>
    <t>载具使用TYPE c生产时候有的载具连不上产品，将30个载具全部测试，目前测试了十五个，其中两条TYPE C线不良，两个USB转接小板不良均更换了之后恢复正常。</t>
  </si>
  <si>
    <t>剩下6个载具继续测试，其中两个USB小板不良，更换后恢复正常，一个USB大板不良，现场无备件，已通知硬件田工新制。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</si>
</sst>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m&quot;月&quot;d&quot;日&quot;;@"/>
    <numFmt numFmtId="178" formatCode="yyyy/m/d;@"/>
    <numFmt numFmtId="179" formatCode="0.0%"/>
  </numFmts>
  <fonts count="46">
    <font>
      <sz val="11"/>
      <color theme="1"/>
      <name val="等线"/>
      <charset val="134"/>
      <scheme val="minor"/>
    </font>
    <font>
      <b/>
      <sz val="11"/>
      <name val="宋体"/>
      <charset val="134"/>
    </font>
    <font>
      <sz val="11"/>
      <color theme="1"/>
      <name val="宋体"/>
      <charset val="134"/>
    </font>
    <font>
      <b/>
      <sz val="24"/>
      <name val="宋体"/>
      <charset val="134"/>
    </font>
    <font>
      <b/>
      <sz val="12"/>
      <name val="宋体"/>
      <charset val="134"/>
    </font>
    <font>
      <sz val="10"/>
      <name val="宋体"/>
      <charset val="134"/>
    </font>
    <font>
      <sz val="12"/>
      <name val="宋体"/>
      <charset val="134"/>
    </font>
    <font>
      <sz val="11"/>
      <name val="宋体"/>
      <charset val="134"/>
    </font>
    <font>
      <sz val="12"/>
      <color theme="1"/>
      <name val="宋体"/>
      <charset val="134"/>
    </font>
    <font>
      <sz val="11"/>
      <color rgb="FF000000"/>
      <name val="宋体"/>
      <charset val="134"/>
    </font>
    <font>
      <sz val="12"/>
      <color rgb="FF000000"/>
      <name val="宋体"/>
      <charset val="134"/>
    </font>
    <font>
      <sz val="10"/>
      <color rgb="FF000000"/>
      <name val="宋体"/>
      <charset val="134"/>
    </font>
    <font>
      <sz val="10"/>
      <color theme="1"/>
      <name val="宋体"/>
      <charset val="134"/>
    </font>
    <font>
      <b/>
      <sz val="17"/>
      <color theme="1"/>
      <name val="宋体"/>
      <charset val="134"/>
    </font>
    <font>
      <b/>
      <sz val="12"/>
      <color theme="1"/>
      <name val="宋体"/>
      <charset val="134"/>
    </font>
    <font>
      <b/>
      <sz val="11"/>
      <color theme="1"/>
      <name val="宋体"/>
      <charset val="134"/>
    </font>
    <font>
      <u/>
      <sz val="11"/>
      <color rgb="FF0000FF"/>
      <name val="等线"/>
      <charset val="0"/>
      <scheme val="minor"/>
    </font>
    <font>
      <sz val="11"/>
      <name val="等线"/>
      <charset val="134"/>
      <scheme val="minor"/>
    </font>
    <font>
      <b/>
      <sz val="12"/>
      <color theme="1"/>
      <name val="等线"/>
      <charset val="134"/>
      <scheme val="minor"/>
    </font>
    <font>
      <b/>
      <sz val="11"/>
      <color theme="1"/>
      <name val="等线"/>
      <charset val="134"/>
      <scheme val="minor"/>
    </font>
    <font>
      <b/>
      <sz val="24"/>
      <color theme="1"/>
      <name val="宋体"/>
      <charset val="134"/>
    </font>
    <font>
      <b/>
      <sz val="10"/>
      <color rgb="FF000000"/>
      <name val="微软雅黑"/>
      <charset val="134"/>
    </font>
    <font>
      <b/>
      <sz val="10"/>
      <name val="微软雅黑"/>
      <charset val="134"/>
    </font>
    <font>
      <sz val="12"/>
      <color rgb="FFFF0000"/>
      <name val="宋体"/>
      <charset val="134"/>
    </font>
    <font>
      <b/>
      <sz val="11"/>
      <color rgb="FFFF0000"/>
      <name val="宋体"/>
      <charset val="134"/>
    </font>
    <font>
      <sz val="11"/>
      <color rgb="FFFF0000"/>
      <name val="宋体"/>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Times New Roman"/>
      <charset val="134"/>
    </font>
    <font>
      <sz val="9"/>
      <name val="宋体"/>
      <charset val="134"/>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bottom style="thin">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auto="1"/>
      </left>
      <right/>
      <top/>
      <bottom/>
      <diagonal/>
    </border>
    <border>
      <left/>
      <right style="thin">
        <color auto="1"/>
      </right>
      <top style="thin">
        <color auto="1"/>
      </top>
      <bottom/>
      <diagonal/>
    </border>
    <border>
      <left style="thin">
        <color rgb="FF000000"/>
      </left>
      <right/>
      <top/>
      <bottom style="thin">
        <color rgb="FF000000"/>
      </bottom>
      <diagonal/>
    </border>
    <border>
      <left style="thin">
        <color auto="1"/>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thin">
        <color rgb="FF000000"/>
      </right>
      <top/>
      <bottom/>
      <diagonal/>
    </border>
    <border>
      <left/>
      <right style="thin">
        <color rgb="FF000000"/>
      </right>
      <top/>
      <bottom/>
      <diagonal/>
    </border>
    <border>
      <left/>
      <right style="thin">
        <color auto="1"/>
      </right>
      <top style="thin">
        <color rgb="FF000000"/>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4" borderId="33"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34" applyNumberFormat="0" applyFill="0" applyAlignment="0" applyProtection="0">
      <alignment vertical="center"/>
    </xf>
    <xf numFmtId="0" fontId="31" fillId="0" borderId="34" applyNumberFormat="0" applyFill="0" applyAlignment="0" applyProtection="0">
      <alignment vertical="center"/>
    </xf>
    <xf numFmtId="0" fontId="32" fillId="0" borderId="35" applyNumberFormat="0" applyFill="0" applyAlignment="0" applyProtection="0">
      <alignment vertical="center"/>
    </xf>
    <xf numFmtId="0" fontId="32" fillId="0" borderId="0" applyNumberFormat="0" applyFill="0" applyBorder="0" applyAlignment="0" applyProtection="0">
      <alignment vertical="center"/>
    </xf>
    <xf numFmtId="0" fontId="33" fillId="5" borderId="36" applyNumberFormat="0" applyAlignment="0" applyProtection="0">
      <alignment vertical="center"/>
    </xf>
    <xf numFmtId="0" fontId="34" fillId="6" borderId="37" applyNumberFormat="0" applyAlignment="0" applyProtection="0">
      <alignment vertical="center"/>
    </xf>
    <xf numFmtId="0" fontId="35" fillId="6" borderId="36" applyNumberFormat="0" applyAlignment="0" applyProtection="0">
      <alignment vertical="center"/>
    </xf>
    <xf numFmtId="0" fontId="36" fillId="7" borderId="38" applyNumberFormat="0" applyAlignment="0" applyProtection="0">
      <alignment vertical="center"/>
    </xf>
    <xf numFmtId="0" fontId="37" fillId="0" borderId="39" applyNumberFormat="0" applyFill="0" applyAlignment="0" applyProtection="0">
      <alignment vertical="center"/>
    </xf>
    <xf numFmtId="0" fontId="38" fillId="0" borderId="40" applyNumberFormat="0" applyFill="0" applyAlignment="0" applyProtection="0">
      <alignment vertical="center"/>
    </xf>
    <xf numFmtId="0" fontId="39" fillId="8" borderId="0" applyNumberFormat="0" applyBorder="0" applyAlignment="0" applyProtection="0">
      <alignment vertical="center"/>
    </xf>
    <xf numFmtId="0" fontId="40" fillId="9" borderId="0" applyNumberFormat="0" applyBorder="0" applyAlignment="0" applyProtection="0">
      <alignment vertical="center"/>
    </xf>
    <xf numFmtId="0" fontId="41" fillId="10" borderId="0" applyNumberFormat="0" applyBorder="0" applyAlignment="0" applyProtection="0">
      <alignment vertical="center"/>
    </xf>
    <xf numFmtId="0" fontId="42" fillId="11" borderId="0" applyNumberFormat="0" applyBorder="0" applyAlignment="0" applyProtection="0">
      <alignment vertical="center"/>
    </xf>
    <xf numFmtId="0" fontId="43" fillId="12" borderId="0" applyNumberFormat="0" applyBorder="0" applyAlignment="0" applyProtection="0">
      <alignment vertical="center"/>
    </xf>
    <xf numFmtId="0" fontId="43"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3" fillId="16" borderId="0" applyNumberFormat="0" applyBorder="0" applyAlignment="0" applyProtection="0">
      <alignment vertical="center"/>
    </xf>
    <xf numFmtId="0" fontId="43"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2" fillId="34" borderId="0" applyNumberFormat="0" applyBorder="0" applyAlignment="0" applyProtection="0">
      <alignment vertical="center"/>
    </xf>
  </cellStyleXfs>
  <cellXfs count="326">
    <xf numFmtId="0" fontId="0" fillId="0" borderId="0" xfId="0">
      <alignment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0" fontId="2" fillId="0" borderId="0" xfId="0" applyFont="1" applyFill="1" applyBorder="1" applyAlignment="1">
      <alignment horizontal="center" vertical="center"/>
    </xf>
    <xf numFmtId="0" fontId="2" fillId="0" borderId="0" xfId="0" applyFont="1" applyFill="1" applyAlignment="1">
      <alignment horizontal="center" vertical="center" wrapText="1"/>
    </xf>
    <xf numFmtId="49" fontId="2" fillId="0" borderId="0" xfId="0" applyNumberFormat="1" applyFont="1" applyFill="1" applyAlignment="1">
      <alignment horizontal="center" vertical="center"/>
    </xf>
    <xf numFmtId="0" fontId="3" fillId="0" borderId="1" xfId="0" applyFont="1" applyFill="1" applyBorder="1" applyAlignment="1">
      <alignment horizontal="center" vertical="center"/>
    </xf>
    <xf numFmtId="0" fontId="3" fillId="0" borderId="2" xfId="0" applyFont="1" applyFill="1" applyBorder="1" applyAlignment="1">
      <alignment horizontal="center" vertical="center"/>
    </xf>
    <xf numFmtId="0" fontId="3" fillId="0" borderId="2" xfId="0" applyFont="1" applyFill="1" applyBorder="1" applyAlignment="1">
      <alignment horizontal="center" vertical="center" wrapText="1"/>
    </xf>
    <xf numFmtId="49" fontId="3" fillId="0" borderId="2" xfId="0" applyNumberFormat="1" applyFont="1" applyFill="1" applyBorder="1" applyAlignment="1">
      <alignment horizontal="center" vertical="center"/>
    </xf>
    <xf numFmtId="0" fontId="4" fillId="0" borderId="3" xfId="0" applyFont="1" applyFill="1" applyBorder="1" applyAlignment="1">
      <alignment horizontal="center" vertical="center"/>
    </xf>
    <xf numFmtId="0" fontId="4" fillId="0" borderId="3" xfId="0" applyFont="1" applyFill="1" applyBorder="1" applyAlignment="1">
      <alignment horizontal="center" vertical="center" wrapText="1"/>
    </xf>
    <xf numFmtId="49" fontId="4" fillId="0" borderId="3" xfId="0" applyNumberFormat="1" applyFont="1" applyFill="1" applyBorder="1" applyAlignment="1">
      <alignment horizontal="center" vertical="center" wrapText="1"/>
    </xf>
    <xf numFmtId="0" fontId="5" fillId="0" borderId="4" xfId="0" applyFont="1" applyFill="1" applyBorder="1" applyAlignment="1">
      <alignment vertical="center"/>
    </xf>
    <xf numFmtId="0" fontId="5" fillId="0" borderId="4" xfId="0" applyFont="1" applyFill="1" applyBorder="1" applyAlignment="1">
      <alignment horizontal="center" vertical="center"/>
    </xf>
    <xf numFmtId="0" fontId="5" fillId="0" borderId="4" xfId="0" applyFont="1" applyFill="1" applyBorder="1" applyAlignment="1">
      <alignment horizontal="center" vertical="center" wrapText="1"/>
    </xf>
    <xf numFmtId="0" fontId="2"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xf>
    <xf numFmtId="176" fontId="1" fillId="0" borderId="3" xfId="0" applyNumberFormat="1" applyFont="1" applyFill="1" applyBorder="1" applyAlignment="1">
      <alignment horizontal="center" vertical="center" wrapText="1"/>
    </xf>
    <xf numFmtId="0" fontId="5" fillId="0" borderId="4" xfId="0" applyFont="1" applyFill="1" applyBorder="1" applyAlignment="1">
      <alignment horizontal="left" vertical="center" wrapText="1"/>
    </xf>
    <xf numFmtId="0" fontId="3" fillId="0" borderId="5" xfId="0" applyFont="1" applyFill="1" applyBorder="1" applyAlignment="1">
      <alignment horizontal="center" vertical="center"/>
    </xf>
    <xf numFmtId="0" fontId="6" fillId="0" borderId="4" xfId="0" applyFont="1" applyFill="1" applyBorder="1" applyAlignment="1">
      <alignment vertical="center" wrapText="1"/>
    </xf>
    <xf numFmtId="0" fontId="6" fillId="0" borderId="4" xfId="0" applyFont="1" applyFill="1" applyBorder="1" applyAlignment="1">
      <alignment vertical="center"/>
    </xf>
    <xf numFmtId="0" fontId="6" fillId="0" borderId="3" xfId="0" applyFont="1" applyFill="1" applyBorder="1" applyAlignment="1">
      <alignment vertical="center" wrapText="1"/>
    </xf>
    <xf numFmtId="0" fontId="5" fillId="0" borderId="4" xfId="0" applyFont="1" applyFill="1" applyBorder="1" applyAlignment="1">
      <alignment vertical="center" wrapText="1"/>
    </xf>
    <xf numFmtId="0" fontId="7" fillId="0" borderId="4" xfId="0" applyFont="1" applyFill="1" applyBorder="1" applyAlignment="1">
      <alignment horizontal="left" vertical="center" wrapText="1"/>
    </xf>
    <xf numFmtId="0" fontId="7" fillId="0" borderId="4" xfId="0" applyFont="1" applyFill="1" applyBorder="1" applyAlignment="1">
      <alignment horizontal="center" vertical="center"/>
    </xf>
    <xf numFmtId="0" fontId="7" fillId="0" borderId="4" xfId="0" applyFont="1" applyFill="1" applyBorder="1" applyAlignment="1">
      <alignment horizontal="center" vertical="center" wrapText="1"/>
    </xf>
    <xf numFmtId="176" fontId="7" fillId="0" borderId="4" xfId="0" applyNumberFormat="1" applyFont="1" applyFill="1" applyBorder="1" applyAlignment="1">
      <alignment vertical="center" wrapText="1"/>
    </xf>
    <xf numFmtId="177" fontId="5" fillId="0" borderId="4" xfId="0" applyNumberFormat="1" applyFont="1" applyFill="1" applyBorder="1" applyAlignment="1">
      <alignment horizontal="center" vertical="center" wrapText="1"/>
    </xf>
    <xf numFmtId="176" fontId="5" fillId="0" borderId="4" xfId="0" applyNumberFormat="1" applyFont="1" applyFill="1" applyBorder="1" applyAlignment="1">
      <alignment horizontal="center" vertical="center" wrapText="1"/>
    </xf>
    <xf numFmtId="176" fontId="5" fillId="0" borderId="3" xfId="0" applyNumberFormat="1" applyFont="1" applyFill="1" applyBorder="1" applyAlignment="1">
      <alignment horizontal="center" vertical="center" wrapText="1"/>
    </xf>
    <xf numFmtId="49" fontId="8" fillId="0" borderId="3" xfId="0" applyNumberFormat="1" applyFont="1" applyFill="1" applyBorder="1" applyAlignment="1">
      <alignment vertical="center" wrapText="1"/>
    </xf>
    <xf numFmtId="0" fontId="8" fillId="0" borderId="3" xfId="0" applyFont="1" applyFill="1" applyBorder="1" applyAlignment="1">
      <alignment vertical="center" wrapText="1"/>
    </xf>
    <xf numFmtId="0" fontId="2" fillId="0" borderId="3" xfId="0" applyFont="1" applyFill="1" applyBorder="1" applyAlignment="1">
      <alignment vertical="center" wrapText="1"/>
    </xf>
    <xf numFmtId="0" fontId="2" fillId="0" borderId="6" xfId="0" applyFont="1" applyFill="1" applyBorder="1" applyAlignment="1">
      <alignment vertical="center" wrapText="1"/>
    </xf>
    <xf numFmtId="0" fontId="9" fillId="0" borderId="7" xfId="0" applyFont="1" applyFill="1" applyBorder="1" applyAlignment="1">
      <alignment horizontal="center" vertical="center" wrapText="1"/>
    </xf>
    <xf numFmtId="0" fontId="9" fillId="0" borderId="8" xfId="0" applyFont="1" applyFill="1" applyBorder="1" applyAlignment="1">
      <alignment horizontal="center" vertical="center" wrapText="1"/>
    </xf>
    <xf numFmtId="176" fontId="7" fillId="0" borderId="9" xfId="0" applyNumberFormat="1" applyFont="1" applyFill="1" applyBorder="1" applyAlignment="1">
      <alignment vertical="center" wrapText="1"/>
    </xf>
    <xf numFmtId="0" fontId="9" fillId="0" borderId="4" xfId="0" applyFont="1" applyFill="1" applyBorder="1" applyAlignment="1">
      <alignment horizontal="left" vertical="center" wrapText="1"/>
    </xf>
    <xf numFmtId="0" fontId="9" fillId="0" borderId="1" xfId="0" applyFont="1" applyFill="1" applyBorder="1" applyAlignment="1">
      <alignment horizontal="left" vertical="center" wrapText="1"/>
    </xf>
    <xf numFmtId="0" fontId="2" fillId="0" borderId="4" xfId="0" applyFont="1" applyFill="1" applyBorder="1" applyAlignment="1">
      <alignment vertical="center"/>
    </xf>
    <xf numFmtId="176" fontId="5" fillId="0" borderId="3" xfId="0" applyNumberFormat="1" applyFont="1" applyFill="1" applyBorder="1" applyAlignment="1">
      <alignment vertical="center" wrapText="1"/>
    </xf>
    <xf numFmtId="0" fontId="2" fillId="0" borderId="4"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wrapText="1"/>
    </xf>
    <xf numFmtId="0" fontId="5" fillId="0" borderId="0" xfId="0" applyFont="1" applyFill="1" applyAlignment="1">
      <alignment horizontal="center" vertical="center"/>
    </xf>
    <xf numFmtId="0" fontId="5" fillId="0" borderId="0" xfId="0" applyFont="1" applyFill="1" applyAlignment="1">
      <alignment vertical="center"/>
    </xf>
    <xf numFmtId="0" fontId="5" fillId="0" borderId="0" xfId="0" applyFont="1" applyFill="1" applyAlignment="1">
      <alignment vertical="center" wrapText="1"/>
    </xf>
    <xf numFmtId="0" fontId="5" fillId="0" borderId="0" xfId="0" applyFont="1" applyFill="1" applyBorder="1" applyAlignment="1">
      <alignment horizontal="center" vertical="center"/>
    </xf>
    <xf numFmtId="49" fontId="5" fillId="0" borderId="3" xfId="0" applyNumberFormat="1" applyFont="1" applyFill="1" applyBorder="1" applyAlignment="1">
      <alignment vertical="center" wrapText="1"/>
    </xf>
    <xf numFmtId="0" fontId="5" fillId="0" borderId="3" xfId="0" applyFont="1" applyFill="1" applyBorder="1" applyAlignment="1">
      <alignment vertical="center" wrapText="1"/>
    </xf>
    <xf numFmtId="49" fontId="5" fillId="0" borderId="4" xfId="0" applyNumberFormat="1" applyFont="1" applyFill="1" applyBorder="1" applyAlignment="1">
      <alignment vertical="center" wrapText="1"/>
    </xf>
    <xf numFmtId="0" fontId="5" fillId="0" borderId="3" xfId="0" applyFont="1" applyFill="1" applyBorder="1" applyAlignment="1">
      <alignment vertical="center"/>
    </xf>
    <xf numFmtId="0" fontId="5" fillId="0" borderId="9" xfId="0" applyFont="1" applyFill="1" applyBorder="1" applyAlignment="1">
      <alignment vertical="center" wrapText="1"/>
    </xf>
    <xf numFmtId="0" fontId="5" fillId="0" borderId="6" xfId="0" applyFont="1" applyFill="1" applyBorder="1" applyAlignment="1">
      <alignment vertical="center" wrapText="1"/>
    </xf>
    <xf numFmtId="49" fontId="5" fillId="0" borderId="4" xfId="0" applyNumberFormat="1" applyFont="1" applyFill="1" applyBorder="1" applyAlignment="1">
      <alignment horizontal="center" vertical="center" wrapText="1"/>
    </xf>
    <xf numFmtId="49" fontId="5" fillId="0" borderId="4" xfId="0" applyNumberFormat="1" applyFont="1" applyFill="1" applyBorder="1" applyAlignment="1">
      <alignment horizontal="center" vertical="center"/>
    </xf>
    <xf numFmtId="0" fontId="5" fillId="0" borderId="7" xfId="0" applyFont="1" applyFill="1" applyBorder="1" applyAlignment="1">
      <alignment horizontal="center" vertical="center" wrapText="1"/>
    </xf>
    <xf numFmtId="0" fontId="5" fillId="0" borderId="8" xfId="0" applyFont="1" applyFill="1" applyBorder="1" applyAlignment="1">
      <alignment horizontal="center" vertical="center" wrapText="1"/>
    </xf>
    <xf numFmtId="176" fontId="5" fillId="0" borderId="9" xfId="0" applyNumberFormat="1" applyFont="1" applyFill="1" applyBorder="1" applyAlignment="1">
      <alignment vertical="center" wrapText="1"/>
    </xf>
    <xf numFmtId="0" fontId="5" fillId="0" borderId="8" xfId="0" applyFont="1" applyFill="1" applyBorder="1" applyAlignment="1">
      <alignment horizontal="left" vertical="center" wrapText="1"/>
    </xf>
    <xf numFmtId="0" fontId="5" fillId="0" borderId="8" xfId="0" applyFont="1" applyFill="1" applyBorder="1" applyAlignment="1">
      <alignment horizontal="left" vertical="center"/>
    </xf>
    <xf numFmtId="176" fontId="5" fillId="0" borderId="10" xfId="0" applyNumberFormat="1" applyFont="1" applyFill="1" applyBorder="1" applyAlignment="1">
      <alignment vertical="center" wrapText="1"/>
    </xf>
    <xf numFmtId="0" fontId="5" fillId="0" borderId="8" xfId="0" applyFont="1" applyFill="1" applyBorder="1" applyAlignment="1">
      <alignment vertical="center" wrapText="1"/>
    </xf>
    <xf numFmtId="0" fontId="5" fillId="0" borderId="11" xfId="0" applyFont="1" applyFill="1" applyBorder="1" applyAlignment="1">
      <alignment horizontal="left" vertical="center"/>
    </xf>
    <xf numFmtId="0" fontId="5" fillId="0" borderId="1" xfId="0" applyFont="1" applyFill="1" applyBorder="1" applyAlignment="1">
      <alignment horizontal="left" vertical="center" wrapText="1"/>
    </xf>
    <xf numFmtId="0" fontId="5" fillId="0" borderId="7" xfId="0" applyFont="1" applyFill="1" applyBorder="1" applyAlignment="1">
      <alignment horizontal="left" vertical="center" wrapText="1"/>
    </xf>
    <xf numFmtId="0" fontId="5" fillId="0" borderId="9" xfId="0" applyFont="1" applyFill="1" applyBorder="1" applyAlignment="1">
      <alignment vertical="center"/>
    </xf>
    <xf numFmtId="0" fontId="5" fillId="0" borderId="12" xfId="0" applyFont="1" applyFill="1" applyBorder="1" applyAlignment="1">
      <alignment horizontal="left" vertical="center" wrapText="1"/>
    </xf>
    <xf numFmtId="0" fontId="5" fillId="0" borderId="11"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13" xfId="0" applyFont="1" applyFill="1" applyBorder="1" applyAlignment="1">
      <alignment horizontal="left" vertical="center" wrapText="1"/>
    </xf>
    <xf numFmtId="0" fontId="5" fillId="0" borderId="12" xfId="0" applyFont="1" applyFill="1" applyBorder="1" applyAlignment="1">
      <alignment horizontal="center" vertical="center" wrapText="1"/>
    </xf>
    <xf numFmtId="0" fontId="5" fillId="0" borderId="14" xfId="0" applyFont="1" applyFill="1" applyBorder="1" applyAlignment="1">
      <alignment horizontal="center" vertical="center" wrapText="1"/>
    </xf>
    <xf numFmtId="176" fontId="5" fillId="0" borderId="4" xfId="0" applyNumberFormat="1" applyFont="1" applyFill="1" applyBorder="1" applyAlignment="1">
      <alignment vertical="center" wrapText="1"/>
    </xf>
    <xf numFmtId="0" fontId="5" fillId="0" borderId="3"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4" xfId="0" applyFont="1" applyFill="1" applyBorder="1">
      <alignment vertical="center"/>
    </xf>
    <xf numFmtId="0" fontId="5" fillId="0" borderId="4" xfId="0" applyFont="1" applyFill="1" applyBorder="1" applyAlignment="1">
      <alignment horizontal="left" vertical="center"/>
    </xf>
    <xf numFmtId="178" fontId="5" fillId="0" borderId="4" xfId="0" applyNumberFormat="1" applyFont="1" applyFill="1" applyBorder="1" applyAlignment="1">
      <alignment horizontal="center" vertical="center" wrapText="1"/>
    </xf>
    <xf numFmtId="0" fontId="7" fillId="0" borderId="4" xfId="0" applyFont="1" applyFill="1" applyBorder="1" applyAlignment="1">
      <alignment vertical="center"/>
    </xf>
    <xf numFmtId="0" fontId="2" fillId="0" borderId="0" xfId="0" applyFont="1" applyFill="1" applyAlignment="1">
      <alignment vertical="center"/>
    </xf>
    <xf numFmtId="0" fontId="7" fillId="0" borderId="0" xfId="0" applyFont="1" applyFill="1" applyAlignment="1">
      <alignment vertical="center"/>
    </xf>
    <xf numFmtId="0" fontId="2" fillId="0" borderId="0" xfId="0" applyFont="1" applyFill="1" applyAlignment="1">
      <alignment vertical="center" wrapText="1"/>
    </xf>
    <xf numFmtId="0" fontId="2" fillId="0" borderId="4" xfId="0" applyFont="1" applyFill="1" applyBorder="1" applyAlignment="1">
      <alignment vertical="center" wrapText="1"/>
    </xf>
    <xf numFmtId="49" fontId="8" fillId="0" borderId="9" xfId="0" applyNumberFormat="1" applyFont="1" applyFill="1" applyBorder="1" applyAlignment="1">
      <alignment vertical="center" wrapText="1"/>
    </xf>
    <xf numFmtId="0" fontId="10" fillId="0" borderId="15"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8" fillId="0" borderId="4" xfId="0" applyFont="1" applyFill="1" applyBorder="1" applyAlignment="1">
      <alignment horizontal="center" vertical="center"/>
    </xf>
    <xf numFmtId="0" fontId="11" fillId="0" borderId="4" xfId="0" applyFont="1" applyFill="1" applyBorder="1" applyAlignment="1">
      <alignment horizontal="center" vertical="center" wrapText="1"/>
    </xf>
    <xf numFmtId="0" fontId="8" fillId="0" borderId="9" xfId="0" applyFont="1" applyFill="1" applyBorder="1" applyAlignment="1">
      <alignment vertical="center" wrapText="1"/>
    </xf>
    <xf numFmtId="49" fontId="8" fillId="0" borderId="15" xfId="0" applyNumberFormat="1" applyFont="1" applyFill="1" applyBorder="1" applyAlignment="1">
      <alignment vertical="center" wrapText="1"/>
    </xf>
    <xf numFmtId="0" fontId="7" fillId="0" borderId="9" xfId="0" applyFont="1" applyFill="1" applyBorder="1" applyAlignment="1">
      <alignment vertical="center" wrapText="1"/>
    </xf>
    <xf numFmtId="0" fontId="7" fillId="0" borderId="3" xfId="0" applyFont="1" applyFill="1" applyBorder="1" applyAlignment="1">
      <alignment vertical="center" wrapText="1"/>
    </xf>
    <xf numFmtId="0" fontId="8" fillId="0" borderId="9" xfId="0" applyFont="1" applyFill="1" applyBorder="1" applyAlignment="1">
      <alignment vertical="center"/>
    </xf>
    <xf numFmtId="0" fontId="8" fillId="0" borderId="3" xfId="0" applyFont="1" applyFill="1" applyBorder="1" applyAlignment="1">
      <alignment vertical="center"/>
    </xf>
    <xf numFmtId="0" fontId="6" fillId="0" borderId="9"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2" fillId="0" borderId="3" xfId="0" applyFont="1" applyFill="1" applyBorder="1" applyAlignment="1">
      <alignment horizontal="center" vertical="center" wrapText="1"/>
    </xf>
    <xf numFmtId="176" fontId="7" fillId="0" borderId="4" xfId="0" applyNumberFormat="1" applyFont="1" applyFill="1" applyBorder="1" applyAlignment="1">
      <alignment horizontal="center" vertical="center" wrapText="1"/>
    </xf>
    <xf numFmtId="176" fontId="7" fillId="0" borderId="3" xfId="0" applyNumberFormat="1" applyFont="1" applyFill="1" applyBorder="1" applyAlignment="1">
      <alignment vertical="center" wrapText="1"/>
    </xf>
    <xf numFmtId="177" fontId="5" fillId="0" borderId="3" xfId="0" applyNumberFormat="1" applyFont="1" applyFill="1" applyBorder="1" applyAlignment="1">
      <alignment horizontal="center" vertical="center" wrapText="1"/>
    </xf>
    <xf numFmtId="176" fontId="7" fillId="0" borderId="3" xfId="0" applyNumberFormat="1" applyFont="1" applyFill="1" applyBorder="1" applyAlignment="1">
      <alignment horizontal="center" vertical="center" wrapText="1"/>
    </xf>
    <xf numFmtId="0" fontId="9" fillId="0" borderId="16" xfId="0" applyFont="1" applyFill="1" applyBorder="1" applyAlignment="1">
      <alignment horizontal="center" vertical="center" wrapText="1"/>
    </xf>
    <xf numFmtId="0" fontId="9" fillId="0" borderId="17" xfId="0" applyFont="1" applyFill="1" applyBorder="1" applyAlignment="1">
      <alignment horizontal="center" vertical="center" wrapText="1"/>
    </xf>
    <xf numFmtId="0" fontId="2" fillId="0" borderId="15" xfId="0" applyFont="1" applyFill="1" applyBorder="1" applyAlignment="1">
      <alignment horizontal="center" vertical="center" wrapText="1"/>
    </xf>
    <xf numFmtId="176" fontId="7" fillId="0" borderId="15" xfId="0" applyNumberFormat="1"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8" fillId="0" borderId="15" xfId="0" applyFont="1" applyFill="1" applyBorder="1" applyAlignment="1">
      <alignment vertical="center" wrapText="1"/>
    </xf>
    <xf numFmtId="0" fontId="9" fillId="0" borderId="15" xfId="0" applyFont="1" applyFill="1" applyBorder="1" applyAlignment="1">
      <alignment horizontal="center" vertical="center" wrapText="1"/>
    </xf>
    <xf numFmtId="0" fontId="9" fillId="0" borderId="17" xfId="0" applyFont="1" applyFill="1" applyBorder="1" applyAlignment="1">
      <alignment horizontal="left" vertical="center" wrapText="1"/>
    </xf>
    <xf numFmtId="176" fontId="7" fillId="0" borderId="18" xfId="0" applyNumberFormat="1" applyFont="1" applyFill="1" applyBorder="1" applyAlignment="1">
      <alignment vertical="center" wrapText="1"/>
    </xf>
    <xf numFmtId="0" fontId="8" fillId="0" borderId="4" xfId="0" applyFont="1" applyFill="1" applyBorder="1" applyAlignment="1">
      <alignment vertical="center" wrapText="1"/>
    </xf>
    <xf numFmtId="0" fontId="9" fillId="0" borderId="8" xfId="0" applyFont="1" applyFill="1" applyBorder="1" applyAlignment="1">
      <alignment horizontal="left" vertical="center" wrapText="1"/>
    </xf>
    <xf numFmtId="0" fontId="9" fillId="0" borderId="8" xfId="0" applyFont="1" applyFill="1" applyBorder="1" applyAlignment="1">
      <alignment horizontal="left" vertical="center"/>
    </xf>
    <xf numFmtId="176" fontId="7" fillId="0" borderId="10" xfId="0" applyNumberFormat="1" applyFont="1" applyFill="1" applyBorder="1" applyAlignment="1">
      <alignment vertical="center" wrapText="1"/>
    </xf>
    <xf numFmtId="0" fontId="9" fillId="0" borderId="8" xfId="0" applyFont="1" applyFill="1" applyBorder="1" applyAlignment="1">
      <alignment vertical="center" wrapText="1"/>
    </xf>
    <xf numFmtId="0" fontId="7" fillId="0" borderId="11" xfId="0" applyFont="1" applyFill="1" applyBorder="1" applyAlignment="1">
      <alignment vertical="center" wrapText="1"/>
    </xf>
    <xf numFmtId="0" fontId="7" fillId="0" borderId="7" xfId="0" applyFont="1" applyFill="1" applyBorder="1" applyAlignment="1">
      <alignment vertical="center" wrapText="1"/>
    </xf>
    <xf numFmtId="0" fontId="7" fillId="0" borderId="8" xfId="0" applyFont="1" applyFill="1" applyBorder="1" applyAlignment="1">
      <alignment horizontal="center" vertical="center"/>
    </xf>
    <xf numFmtId="176" fontId="7" fillId="0" borderId="18" xfId="0" applyNumberFormat="1" applyFont="1" applyFill="1" applyBorder="1" applyAlignment="1">
      <alignment horizontal="center" vertical="center" wrapText="1"/>
    </xf>
    <xf numFmtId="176" fontId="7" fillId="0" borderId="6" xfId="0" applyNumberFormat="1" applyFont="1" applyFill="1" applyBorder="1" applyAlignment="1">
      <alignment horizontal="center" vertical="center" wrapText="1"/>
    </xf>
    <xf numFmtId="0" fontId="2" fillId="0" borderId="19" xfId="0" applyFont="1" applyFill="1" applyBorder="1" applyAlignment="1">
      <alignment vertical="center"/>
    </xf>
    <xf numFmtId="0" fontId="2" fillId="0" borderId="3" xfId="0" applyFont="1" applyFill="1" applyBorder="1" applyAlignment="1">
      <alignment vertical="center"/>
    </xf>
    <xf numFmtId="0" fontId="9" fillId="0" borderId="12" xfId="0" applyFont="1" applyFill="1" applyBorder="1" applyAlignment="1">
      <alignment horizontal="left" vertical="center" wrapText="1"/>
    </xf>
    <xf numFmtId="0" fontId="2" fillId="0" borderId="15" xfId="0" applyFont="1" applyFill="1" applyBorder="1" applyAlignment="1">
      <alignment horizontal="center" vertical="center"/>
    </xf>
    <xf numFmtId="0" fontId="2" fillId="0" borderId="9" xfId="0" applyFont="1" applyFill="1" applyBorder="1" applyAlignment="1">
      <alignment horizontal="center" vertical="center"/>
    </xf>
    <xf numFmtId="0" fontId="2" fillId="0" borderId="9" xfId="0" applyFont="1" applyFill="1" applyBorder="1" applyAlignment="1">
      <alignment vertical="center" wrapText="1"/>
    </xf>
    <xf numFmtId="0" fontId="2" fillId="0" borderId="15" xfId="0" applyFont="1" applyFill="1" applyBorder="1" applyAlignment="1">
      <alignment vertical="center" wrapText="1"/>
    </xf>
    <xf numFmtId="0" fontId="11" fillId="0" borderId="17" xfId="0" applyFont="1" applyFill="1" applyBorder="1" applyAlignment="1">
      <alignment horizontal="center" vertical="center" wrapText="1"/>
    </xf>
    <xf numFmtId="0" fontId="7" fillId="0" borderId="4" xfId="0" applyFont="1" applyFill="1" applyBorder="1" applyAlignment="1">
      <alignment vertical="center" wrapText="1"/>
    </xf>
    <xf numFmtId="0" fontId="9" fillId="0" borderId="17" xfId="0" applyFont="1" applyFill="1" applyBorder="1" applyAlignment="1">
      <alignment horizontal="left" vertical="center"/>
    </xf>
    <xf numFmtId="0" fontId="9" fillId="0" borderId="20" xfId="0" applyFont="1" applyFill="1" applyBorder="1" applyAlignment="1">
      <alignment horizontal="left" vertical="center"/>
    </xf>
    <xf numFmtId="0" fontId="2" fillId="0" borderId="15" xfId="0" applyFont="1" applyFill="1" applyBorder="1" applyAlignment="1">
      <alignment vertical="center"/>
    </xf>
    <xf numFmtId="0" fontId="9" fillId="0" borderId="11" xfId="0" applyFont="1" applyFill="1" applyBorder="1" applyAlignment="1">
      <alignment horizontal="left" vertical="center"/>
    </xf>
    <xf numFmtId="0" fontId="9" fillId="0" borderId="12" xfId="0" applyFont="1" applyFill="1" applyBorder="1" applyAlignment="1">
      <alignment horizontal="left" vertical="center"/>
    </xf>
    <xf numFmtId="0" fontId="9" fillId="0" borderId="14" xfId="0" applyFont="1" applyFill="1" applyBorder="1" applyAlignment="1">
      <alignment horizontal="left" vertical="center"/>
    </xf>
    <xf numFmtId="0" fontId="9" fillId="0" borderId="21" xfId="0" applyFont="1" applyFill="1" applyBorder="1" applyAlignment="1">
      <alignment horizontal="left" vertical="center" wrapText="1"/>
    </xf>
    <xf numFmtId="0" fontId="9" fillId="0" borderId="22" xfId="0" applyFont="1" applyFill="1" applyBorder="1" applyAlignment="1">
      <alignment horizontal="left" vertical="center" wrapText="1"/>
    </xf>
    <xf numFmtId="0" fontId="9" fillId="0" borderId="3" xfId="0" applyFont="1" applyFill="1" applyBorder="1" applyAlignment="1">
      <alignment horizontal="left" vertical="center" wrapText="1"/>
    </xf>
    <xf numFmtId="0" fontId="9" fillId="0" borderId="10" xfId="0" applyFont="1" applyFill="1" applyBorder="1" applyAlignment="1">
      <alignment horizontal="left" vertical="center" wrapText="1"/>
    </xf>
    <xf numFmtId="0" fontId="9" fillId="0" borderId="15" xfId="0" applyFont="1" applyFill="1" applyBorder="1" applyAlignment="1">
      <alignment horizontal="left" vertical="center" wrapText="1"/>
    </xf>
    <xf numFmtId="0" fontId="9" fillId="0" borderId="23" xfId="0" applyFont="1" applyFill="1" applyBorder="1" applyAlignment="1">
      <alignment horizontal="left" vertical="center" wrapText="1"/>
    </xf>
    <xf numFmtId="0" fontId="7" fillId="0" borderId="24"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9" fillId="0" borderId="7" xfId="0" applyFont="1" applyFill="1" applyBorder="1" applyAlignment="1">
      <alignment horizontal="left" vertical="center" wrapText="1"/>
    </xf>
    <xf numFmtId="0" fontId="2" fillId="0" borderId="9" xfId="0" applyFont="1" applyFill="1" applyBorder="1" applyAlignment="1">
      <alignment vertical="center"/>
    </xf>
    <xf numFmtId="0" fontId="9" fillId="0" borderId="13" xfId="0" applyFont="1" applyFill="1" applyBorder="1" applyAlignment="1">
      <alignment horizontal="left" vertical="center"/>
    </xf>
    <xf numFmtId="0" fontId="9" fillId="0" borderId="24" xfId="0" applyFont="1" applyFill="1" applyBorder="1" applyAlignment="1">
      <alignment horizontal="left" vertical="center" wrapText="1"/>
    </xf>
    <xf numFmtId="0" fontId="9" fillId="0" borderId="23"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13" xfId="0" applyFont="1" applyFill="1" applyBorder="1" applyAlignment="1">
      <alignment horizontal="left" vertical="center" wrapText="1"/>
    </xf>
    <xf numFmtId="0" fontId="9" fillId="0" borderId="14" xfId="0" applyFont="1" applyFill="1" applyBorder="1" applyAlignment="1">
      <alignment horizontal="center" vertical="center" wrapText="1"/>
    </xf>
    <xf numFmtId="0" fontId="9" fillId="0" borderId="4" xfId="0" applyFont="1" applyFill="1" applyBorder="1" applyAlignment="1">
      <alignment vertical="center" wrapText="1"/>
    </xf>
    <xf numFmtId="0" fontId="2" fillId="0" borderId="5" xfId="0" applyFont="1" applyFill="1" applyBorder="1" applyAlignment="1">
      <alignment horizontal="center" vertical="center"/>
    </xf>
    <xf numFmtId="49" fontId="5" fillId="0" borderId="4" xfId="0" applyNumberFormat="1" applyFont="1" applyFill="1" applyBorder="1" applyAlignment="1">
      <alignment vertical="center"/>
    </xf>
    <xf numFmtId="0" fontId="10" fillId="0" borderId="3" xfId="0" applyFont="1" applyFill="1" applyBorder="1" applyAlignment="1">
      <alignment horizontal="center" vertical="center" wrapText="1"/>
    </xf>
    <xf numFmtId="49" fontId="8" fillId="0" borderId="4" xfId="0" applyNumberFormat="1" applyFont="1" applyFill="1" applyBorder="1" applyAlignment="1">
      <alignment vertical="center" wrapText="1"/>
    </xf>
    <xf numFmtId="0" fontId="9" fillId="0" borderId="9" xfId="0" applyFont="1" applyFill="1" applyBorder="1" applyAlignment="1">
      <alignment horizontal="center" vertical="center" wrapText="1"/>
    </xf>
    <xf numFmtId="0" fontId="5" fillId="0" borderId="8" xfId="0" applyFont="1" applyFill="1" applyBorder="1" applyAlignment="1">
      <alignment horizontal="center" vertical="center"/>
    </xf>
    <xf numFmtId="0" fontId="11" fillId="0" borderId="8" xfId="0" applyFont="1" applyFill="1" applyBorder="1" applyAlignment="1">
      <alignment horizontal="center" vertical="center"/>
    </xf>
    <xf numFmtId="0" fontId="5" fillId="0" borderId="19" xfId="0" applyFont="1" applyFill="1" applyBorder="1" applyAlignment="1">
      <alignment vertical="center"/>
    </xf>
    <xf numFmtId="0" fontId="9" fillId="0" borderId="7" xfId="0" applyFont="1" applyFill="1" applyBorder="1" applyAlignment="1">
      <alignment horizontal="left" vertical="center"/>
    </xf>
    <xf numFmtId="0" fontId="9" fillId="0" borderId="10" xfId="0" applyFont="1" applyFill="1" applyBorder="1" applyAlignment="1">
      <alignment horizontal="center" vertical="center" wrapText="1"/>
    </xf>
    <xf numFmtId="0" fontId="9" fillId="0" borderId="5"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2" fillId="0" borderId="19" xfId="0" applyFont="1" applyFill="1" applyBorder="1" applyAlignment="1">
      <alignment horizontal="center" vertical="center"/>
    </xf>
    <xf numFmtId="0" fontId="12" fillId="0" borderId="0" xfId="0" applyFont="1" applyFill="1" applyAlignment="1">
      <alignment horizontal="center" vertical="center"/>
    </xf>
    <xf numFmtId="0" fontId="12" fillId="0" borderId="0" xfId="0" applyFont="1" applyFill="1" applyAlignment="1">
      <alignment vertical="center"/>
    </xf>
    <xf numFmtId="0" fontId="12" fillId="0" borderId="0" xfId="0" applyFont="1" applyFill="1" applyBorder="1" applyAlignment="1">
      <alignment horizontal="center" vertical="center"/>
    </xf>
    <xf numFmtId="0" fontId="12" fillId="0" borderId="4" xfId="0" applyFont="1" applyFill="1" applyBorder="1" applyAlignment="1">
      <alignment vertical="center" wrapText="1"/>
    </xf>
    <xf numFmtId="49" fontId="12" fillId="0" borderId="3" xfId="0" applyNumberFormat="1" applyFont="1" applyFill="1" applyBorder="1" applyAlignment="1">
      <alignment vertical="center" wrapText="1"/>
    </xf>
    <xf numFmtId="0" fontId="12" fillId="0" borderId="3" xfId="0" applyFont="1" applyFill="1" applyBorder="1" applyAlignment="1">
      <alignment vertical="center" wrapText="1"/>
    </xf>
    <xf numFmtId="0" fontId="12" fillId="0" borderId="3" xfId="0" applyFont="1" applyFill="1" applyBorder="1" applyAlignment="1">
      <alignment vertical="center"/>
    </xf>
    <xf numFmtId="0" fontId="12" fillId="0" borderId="4" xfId="0" applyFont="1" applyFill="1" applyBorder="1" applyAlignment="1">
      <alignment horizontal="center" vertical="center" wrapText="1"/>
    </xf>
    <xf numFmtId="0" fontId="12" fillId="0" borderId="4" xfId="0" applyFont="1" applyFill="1" applyBorder="1" applyAlignment="1">
      <alignment horizontal="center" vertical="center"/>
    </xf>
    <xf numFmtId="0" fontId="11" fillId="0" borderId="7"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11" fillId="0" borderId="8" xfId="0" applyFont="1" applyFill="1" applyBorder="1" applyAlignment="1">
      <alignment horizontal="left" vertical="center" wrapText="1"/>
    </xf>
    <xf numFmtId="0" fontId="12" fillId="0" borderId="19" xfId="0" applyFont="1" applyFill="1" applyBorder="1" applyAlignment="1">
      <alignment vertical="center"/>
    </xf>
    <xf numFmtId="0" fontId="12" fillId="0" borderId="3" xfId="0" applyFont="1" applyFill="1" applyBorder="1" applyAlignment="1">
      <alignment horizontal="center" vertical="center"/>
    </xf>
    <xf numFmtId="0" fontId="12" fillId="0" borderId="6" xfId="0" applyFont="1" applyFill="1" applyBorder="1" applyAlignment="1">
      <alignment vertical="center" wrapText="1"/>
    </xf>
    <xf numFmtId="0" fontId="12" fillId="0" borderId="4" xfId="0" applyFont="1" applyFill="1" applyBorder="1" applyAlignment="1">
      <alignment vertical="center"/>
    </xf>
    <xf numFmtId="0" fontId="11" fillId="0" borderId="21" xfId="0" applyFont="1" applyFill="1" applyBorder="1" applyAlignment="1">
      <alignment horizontal="left" vertical="center" wrapText="1"/>
    </xf>
    <xf numFmtId="0" fontId="11" fillId="0" borderId="22" xfId="0" applyFont="1" applyFill="1" applyBorder="1" applyAlignment="1">
      <alignment horizontal="left" vertical="center" wrapText="1"/>
    </xf>
    <xf numFmtId="0" fontId="11" fillId="0" borderId="4"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12" fillId="0" borderId="5" xfId="0" applyFont="1" applyFill="1" applyBorder="1" applyAlignment="1">
      <alignment horizontal="center" vertical="center"/>
    </xf>
    <xf numFmtId="0" fontId="7" fillId="0" borderId="0" xfId="0" applyFont="1" applyFill="1" applyAlignment="1">
      <alignment horizontal="center" vertical="center"/>
    </xf>
    <xf numFmtId="0" fontId="7" fillId="0" borderId="0" xfId="0" applyFont="1" applyFill="1" applyAlignment="1">
      <alignment vertical="center" wrapText="1"/>
    </xf>
    <xf numFmtId="0" fontId="7" fillId="0" borderId="0" xfId="0" applyFont="1" applyFill="1" applyBorder="1" applyAlignment="1">
      <alignment horizontal="center" vertical="center"/>
    </xf>
    <xf numFmtId="0" fontId="7" fillId="0" borderId="0" xfId="0" applyFont="1" applyFill="1" applyAlignment="1">
      <alignment horizontal="center" vertical="center" wrapText="1"/>
    </xf>
    <xf numFmtId="49" fontId="7" fillId="0" borderId="0" xfId="0" applyNumberFormat="1" applyFont="1" applyFill="1" applyAlignment="1">
      <alignment horizontal="center" vertical="center"/>
    </xf>
    <xf numFmtId="0" fontId="8" fillId="0" borderId="3" xfId="0" applyFont="1" applyFill="1" applyBorder="1" applyAlignment="1">
      <alignment horizontal="center" vertical="center"/>
    </xf>
    <xf numFmtId="0" fontId="9" fillId="0" borderId="25" xfId="0" applyFont="1" applyFill="1" applyBorder="1" applyAlignment="1">
      <alignment horizontal="left" vertical="center" wrapText="1"/>
    </xf>
    <xf numFmtId="0" fontId="2" fillId="0" borderId="9" xfId="0" applyFont="1" applyFill="1" applyBorder="1" applyAlignment="1">
      <alignment horizontal="center" vertical="center" wrapText="1"/>
    </xf>
    <xf numFmtId="0" fontId="9" fillId="0" borderId="25" xfId="0" applyFont="1" applyFill="1" applyBorder="1" applyAlignment="1">
      <alignment horizontal="left" vertical="center"/>
    </xf>
    <xf numFmtId="0" fontId="9" fillId="0" borderId="17" xfId="0" applyFont="1" applyFill="1" applyBorder="1" applyAlignment="1">
      <alignment vertical="center" wrapText="1"/>
    </xf>
    <xf numFmtId="0" fontId="11" fillId="0" borderId="3" xfId="0" applyFont="1" applyFill="1" applyBorder="1" applyAlignment="1">
      <alignment horizontal="center" vertical="center" wrapText="1"/>
    </xf>
    <xf numFmtId="0" fontId="9" fillId="0" borderId="26" xfId="0" applyFont="1" applyFill="1" applyBorder="1" applyAlignment="1">
      <alignment horizontal="left" vertical="center"/>
    </xf>
    <xf numFmtId="0" fontId="9" fillId="0" borderId="26" xfId="0" applyFont="1" applyFill="1" applyBorder="1" applyAlignment="1">
      <alignment horizontal="left" vertical="center" wrapText="1"/>
    </xf>
    <xf numFmtId="0" fontId="9" fillId="0" borderId="18" xfId="0" applyFont="1" applyFill="1" applyBorder="1" applyAlignment="1">
      <alignment horizontal="center" vertical="center" wrapText="1"/>
    </xf>
    <xf numFmtId="0" fontId="2" fillId="0" borderId="6" xfId="0" applyFont="1" applyFill="1" applyBorder="1" applyAlignment="1">
      <alignment horizontal="center" vertical="center"/>
    </xf>
    <xf numFmtId="0" fontId="10" fillId="0" borderId="3" xfId="0" applyFont="1" applyFill="1" applyBorder="1" applyAlignment="1">
      <alignment vertical="center" wrapText="1"/>
    </xf>
    <xf numFmtId="0" fontId="8" fillId="0" borderId="4" xfId="0" applyFont="1" applyFill="1" applyBorder="1" applyAlignment="1">
      <alignment vertical="center"/>
    </xf>
    <xf numFmtId="0" fontId="6" fillId="0" borderId="4" xfId="0" applyFont="1" applyFill="1" applyBorder="1" applyAlignment="1">
      <alignment horizontal="center" vertical="center" wrapText="1"/>
    </xf>
    <xf numFmtId="0" fontId="9" fillId="0" borderId="7" xfId="0" applyFont="1" applyFill="1" applyBorder="1" applyAlignment="1">
      <alignment vertical="center" wrapText="1"/>
    </xf>
    <xf numFmtId="0" fontId="11" fillId="0" borderId="4" xfId="0" applyFont="1" applyFill="1" applyBorder="1" applyAlignment="1">
      <alignment horizontal="center" vertical="center"/>
    </xf>
    <xf numFmtId="49" fontId="7" fillId="0" borderId="4" xfId="0" applyNumberFormat="1" applyFont="1" applyFill="1" applyBorder="1" applyAlignment="1">
      <alignment vertical="center" wrapText="1"/>
    </xf>
    <xf numFmtId="0" fontId="9" fillId="0" borderId="8" xfId="0" applyFont="1" applyFill="1" applyBorder="1" applyAlignment="1">
      <alignment horizontal="center" vertical="center"/>
    </xf>
    <xf numFmtId="0" fontId="9" fillId="0" borderId="27" xfId="0" applyFont="1" applyFill="1" applyBorder="1" applyAlignment="1">
      <alignment horizontal="left" vertical="center" wrapText="1"/>
    </xf>
    <xf numFmtId="0" fontId="9" fillId="0" borderId="4" xfId="0" applyFont="1" applyFill="1" applyBorder="1" applyAlignment="1">
      <alignment horizontal="left" vertical="center"/>
    </xf>
    <xf numFmtId="0" fontId="9" fillId="0" borderId="5" xfId="0" applyFont="1" applyFill="1" applyBorder="1" applyAlignment="1">
      <alignmen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30" xfId="0" applyFont="1" applyBorder="1" applyAlignment="1">
      <alignment horizontal="center" vertical="center" wrapText="1"/>
    </xf>
    <xf numFmtId="0" fontId="14" fillId="0" borderId="31"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4" fillId="0" borderId="5" xfId="0" applyFont="1" applyFill="1" applyBorder="1" applyAlignment="1">
      <alignment horizontal="center" vertical="center"/>
    </xf>
    <xf numFmtId="0" fontId="14" fillId="0" borderId="5" xfId="0"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2" xfId="0" applyFont="1" applyFill="1" applyBorder="1" applyAlignment="1">
      <alignment horizontal="center" vertical="center" wrapText="1"/>
    </xf>
    <xf numFmtId="0" fontId="16" fillId="0" borderId="4" xfId="6" applyBorder="1" applyAlignment="1">
      <alignment horizontal="center" vertical="center"/>
    </xf>
    <xf numFmtId="9" fontId="7" fillId="0" borderId="4" xfId="0" applyNumberFormat="1" applyFont="1" applyFill="1" applyBorder="1" applyAlignment="1">
      <alignment horizontal="center" vertical="center" wrapText="1"/>
    </xf>
    <xf numFmtId="0" fontId="7" fillId="0" borderId="4" xfId="0" applyNumberFormat="1" applyFont="1" applyFill="1" applyBorder="1" applyAlignment="1" applyProtection="1">
      <alignment horizontal="center" vertical="center"/>
    </xf>
    <xf numFmtId="179" fontId="17" fillId="0" borderId="4" xfId="0" applyNumberFormat="1" applyFont="1" applyBorder="1" applyAlignment="1">
      <alignment horizontal="center" vertical="center"/>
    </xf>
    <xf numFmtId="179" fontId="0" fillId="0" borderId="3" xfId="0" applyNumberFormat="1" applyFill="1" applyBorder="1" applyAlignment="1">
      <alignment horizontal="center" vertical="center"/>
    </xf>
    <xf numFmtId="179" fontId="0" fillId="0" borderId="9" xfId="0" applyNumberFormat="1" applyFill="1" applyBorder="1" applyAlignment="1">
      <alignment horizontal="center" vertical="center"/>
    </xf>
    <xf numFmtId="0" fontId="0" fillId="0" borderId="4" xfId="0" applyBorder="1" applyAlignment="1">
      <alignment horizontal="center" vertical="center"/>
    </xf>
    <xf numFmtId="179" fontId="0" fillId="0" borderId="15" xfId="0" applyNumberFormat="1" applyFill="1" applyBorder="1" applyAlignment="1">
      <alignment horizontal="center" vertical="center"/>
    </xf>
    <xf numFmtId="0" fontId="18" fillId="0" borderId="0" xfId="0" applyFont="1">
      <alignment vertical="center"/>
    </xf>
    <xf numFmtId="0" fontId="17" fillId="0" borderId="4" xfId="0" applyFont="1" applyFill="1" applyBorder="1" applyAlignment="1">
      <alignment vertical="center"/>
    </xf>
    <xf numFmtId="0" fontId="19" fillId="0" borderId="0" xfId="0" applyFont="1" applyFill="1" applyAlignment="1">
      <alignment horizontal="center" vertical="center"/>
    </xf>
    <xf numFmtId="0" fontId="19" fillId="0" borderId="0" xfId="0" applyFont="1" applyFill="1" applyAlignment="1">
      <alignment vertical="center"/>
    </xf>
    <xf numFmtId="0" fontId="0" fillId="0" borderId="0" xfId="0" applyFill="1" applyBorder="1" applyAlignment="1">
      <alignment horizontal="center" vertical="center"/>
    </xf>
    <xf numFmtId="0" fontId="0" fillId="0" borderId="0" xfId="0" applyBorder="1" applyAlignment="1">
      <alignment horizontal="center" vertical="center"/>
    </xf>
    <xf numFmtId="0" fontId="19"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vertical="center"/>
    </xf>
    <xf numFmtId="0" fontId="0" fillId="0" borderId="0" xfId="0" applyFont="1" applyAlignment="1">
      <alignment horizontal="center" vertical="center"/>
    </xf>
    <xf numFmtId="0" fontId="0" fillId="0" borderId="0" xfId="0" applyFont="1" applyFill="1" applyAlignment="1">
      <alignment horizontal="center" vertical="center" wrapText="1"/>
    </xf>
    <xf numFmtId="0" fontId="0" fillId="0" borderId="0" xfId="0" applyFont="1" applyFill="1" applyAlignment="1">
      <alignment horizontal="center" vertical="center"/>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0" fillId="0" borderId="2" xfId="0" applyFont="1" applyBorder="1" applyAlignment="1">
      <alignment horizontal="center" vertical="center" wrapText="1"/>
    </xf>
    <xf numFmtId="49" fontId="20" fillId="0" borderId="2" xfId="0" applyNumberFormat="1" applyFont="1" applyBorder="1" applyAlignment="1">
      <alignment horizontal="center" vertical="center"/>
    </xf>
    <xf numFmtId="0" fontId="8" fillId="0" borderId="3" xfId="0" applyFont="1" applyBorder="1" applyAlignment="1">
      <alignment horizontal="center" vertical="center"/>
    </xf>
    <xf numFmtId="0" fontId="8" fillId="2" borderId="3" xfId="0" applyFont="1" applyFill="1" applyBorder="1" applyAlignment="1">
      <alignment horizontal="center" vertical="center" wrapText="1"/>
    </xf>
    <xf numFmtId="0" fontId="8" fillId="0" borderId="3" xfId="0" applyFont="1" applyBorder="1" applyAlignment="1">
      <alignment horizontal="center" vertical="center" wrapText="1"/>
    </xf>
    <xf numFmtId="49" fontId="6" fillId="2" borderId="3" xfId="0" applyNumberFormat="1" applyFont="1" applyFill="1" applyBorder="1" applyAlignment="1">
      <alignment horizontal="center" vertical="center" wrapText="1"/>
    </xf>
    <xf numFmtId="0" fontId="10" fillId="0" borderId="3" xfId="0" applyFont="1" applyBorder="1" applyAlignment="1">
      <alignment horizontal="center" vertical="center"/>
    </xf>
    <xf numFmtId="49" fontId="8" fillId="2" borderId="3" xfId="0" applyNumberFormat="1" applyFont="1" applyFill="1" applyBorder="1" applyAlignment="1">
      <alignment horizontal="center" vertical="center" wrapText="1"/>
    </xf>
    <xf numFmtId="49" fontId="8" fillId="0" borderId="3" xfId="0" applyNumberFormat="1" applyFont="1" applyFill="1" applyBorder="1" applyAlignment="1">
      <alignment horizontal="center" vertical="center" wrapText="1"/>
    </xf>
    <xf numFmtId="49" fontId="8" fillId="0" borderId="9" xfId="0"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21" fillId="0" borderId="4"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14" fillId="0" borderId="15" xfId="0" applyFont="1" applyFill="1" applyBorder="1" applyAlignment="1">
      <alignment horizontal="center" vertical="center" wrapText="1"/>
    </xf>
    <xf numFmtId="49" fontId="8" fillId="0" borderId="4" xfId="0" applyNumberFormat="1"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22"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9"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3"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15" xfId="0" applyFont="1" applyFill="1" applyBorder="1" applyAlignment="1">
      <alignment horizontal="center" vertical="center" wrapText="1"/>
    </xf>
    <xf numFmtId="0" fontId="23" fillId="3" borderId="9" xfId="0" applyFont="1" applyFill="1" applyBorder="1" applyAlignment="1">
      <alignment horizontal="center" vertical="center" wrapText="1"/>
    </xf>
    <xf numFmtId="0" fontId="23" fillId="0" borderId="3" xfId="0" applyFont="1" applyFill="1" applyBorder="1" applyAlignment="1">
      <alignment horizontal="center" vertical="center" wrapText="1"/>
    </xf>
    <xf numFmtId="176" fontId="24" fillId="3" borderId="3" xfId="0" applyNumberFormat="1" applyFont="1" applyFill="1" applyBorder="1" applyAlignment="1">
      <alignment horizontal="center" vertical="center" wrapText="1"/>
    </xf>
    <xf numFmtId="0" fontId="19" fillId="0" borderId="4" xfId="0" applyFont="1" applyFill="1" applyBorder="1" applyAlignment="1">
      <alignment horizontal="center" vertical="center"/>
    </xf>
    <xf numFmtId="176" fontId="7" fillId="0" borderId="9" xfId="0" applyNumberFormat="1" applyFont="1" applyFill="1" applyBorder="1" applyAlignment="1">
      <alignment horizontal="center" vertical="center" wrapText="1"/>
    </xf>
    <xf numFmtId="0" fontId="19" fillId="0" borderId="4" xfId="0" applyFont="1" applyFill="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4" xfId="0" applyFont="1" applyBorder="1" applyAlignment="1">
      <alignment horizontal="center" vertical="center" wrapText="1"/>
    </xf>
    <xf numFmtId="0" fontId="9" fillId="0" borderId="9" xfId="0" applyFont="1" applyBorder="1" applyAlignment="1">
      <alignment horizontal="center" vertical="center" wrapText="1"/>
    </xf>
    <xf numFmtId="0" fontId="9" fillId="0" borderId="8" xfId="0" applyFont="1" applyBorder="1" applyAlignment="1">
      <alignment horizontal="left" vertical="center" wrapText="1"/>
    </xf>
    <xf numFmtId="176" fontId="7" fillId="0" borderId="10" xfId="0" applyNumberFormat="1" applyFont="1" applyFill="1" applyBorder="1" applyAlignment="1">
      <alignment horizontal="center" vertical="center" wrapText="1"/>
    </xf>
    <xf numFmtId="0" fontId="9" fillId="0" borderId="8" xfId="0" applyFont="1" applyBorder="1" applyAlignment="1">
      <alignment horizontal="left" vertical="center"/>
    </xf>
    <xf numFmtId="0" fontId="9" fillId="0" borderId="8" xfId="0" applyFont="1" applyBorder="1" applyAlignment="1">
      <alignment vertical="center" wrapText="1"/>
    </xf>
    <xf numFmtId="0" fontId="25" fillId="0" borderId="11" xfId="0" applyFont="1" applyBorder="1" applyAlignment="1">
      <alignment horizontal="center" vertical="center" wrapText="1"/>
    </xf>
    <xf numFmtId="0" fontId="25" fillId="0" borderId="7" xfId="0" applyFont="1" applyBorder="1" applyAlignment="1">
      <alignment horizontal="center" vertical="center" wrapText="1"/>
    </xf>
    <xf numFmtId="0" fontId="9" fillId="0" borderId="8" xfId="0" applyFont="1" applyBorder="1" applyAlignment="1">
      <alignment horizontal="center" vertical="center"/>
    </xf>
    <xf numFmtId="0" fontId="20" fillId="0" borderId="5" xfId="0" applyFont="1" applyBorder="1" applyAlignment="1">
      <alignment horizontal="center" vertical="center"/>
    </xf>
    <xf numFmtId="0" fontId="22" fillId="0" borderId="8" xfId="0" applyFont="1" applyFill="1" applyBorder="1" applyAlignment="1">
      <alignment horizontal="center" vertical="center"/>
    </xf>
    <xf numFmtId="0" fontId="21" fillId="0" borderId="8" xfId="0" applyFont="1" applyFill="1" applyBorder="1" applyAlignment="1">
      <alignment horizontal="center" vertical="center"/>
    </xf>
    <xf numFmtId="0" fontId="21" fillId="0" borderId="8"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3" borderId="4" xfId="0" applyFont="1" applyFill="1" applyBorder="1" applyAlignment="1">
      <alignment horizontal="center" vertical="center"/>
    </xf>
    <xf numFmtId="0" fontId="7" fillId="3" borderId="4" xfId="0" applyFont="1" applyFill="1" applyBorder="1" applyAlignment="1">
      <alignment horizontal="center" vertical="center" wrapText="1"/>
    </xf>
    <xf numFmtId="0" fontId="7" fillId="3" borderId="4" xfId="0" applyFont="1" applyFill="1" applyBorder="1" applyAlignment="1">
      <alignment horizontal="center" vertical="center"/>
    </xf>
    <xf numFmtId="0" fontId="0" fillId="0" borderId="4" xfId="0" applyFont="1" applyFill="1" applyBorder="1" applyAlignment="1">
      <alignment horizontal="center" vertical="center"/>
    </xf>
    <xf numFmtId="0" fontId="19" fillId="0" borderId="0" xfId="0" applyFont="1" applyBorder="1" applyAlignment="1">
      <alignment horizontal="center" vertical="center"/>
    </xf>
    <xf numFmtId="0" fontId="0" fillId="0" borderId="0" xfId="0" applyBorder="1" applyAlignment="1">
      <alignment horizontal="center" vertical="center" wrapText="1"/>
    </xf>
    <xf numFmtId="49" fontId="0" fillId="0" borderId="0" xfId="0" applyNumberFormat="1" applyBorder="1" applyAlignment="1">
      <alignment horizontal="center" vertical="center"/>
    </xf>
    <xf numFmtId="0" fontId="9" fillId="0" borderId="11" xfId="0" applyFont="1" applyBorder="1" applyAlignment="1">
      <alignment horizontal="left" vertical="center"/>
    </xf>
    <xf numFmtId="0" fontId="9" fillId="0" borderId="1" xfId="0" applyFont="1" applyBorder="1" applyAlignment="1">
      <alignment horizontal="left" vertical="center" wrapText="1"/>
    </xf>
    <xf numFmtId="0" fontId="9" fillId="0" borderId="21" xfId="0" applyFont="1" applyBorder="1" applyAlignment="1">
      <alignment horizontal="left" vertical="center" wrapText="1"/>
    </xf>
    <xf numFmtId="0" fontId="9" fillId="0" borderId="22" xfId="0" applyFont="1" applyBorder="1" applyAlignment="1">
      <alignment horizontal="left" vertical="center" wrapText="1"/>
    </xf>
    <xf numFmtId="0" fontId="9" fillId="0" borderId="4" xfId="0" applyFont="1" applyBorder="1" applyAlignment="1">
      <alignment horizontal="left" vertical="center" wrapText="1"/>
    </xf>
    <xf numFmtId="0" fontId="9" fillId="0" borderId="7" xfId="0" applyFont="1" applyBorder="1" applyAlignment="1">
      <alignment horizontal="left" vertical="center" wrapText="1"/>
    </xf>
    <xf numFmtId="0" fontId="9" fillId="0" borderId="7" xfId="0" applyFont="1" applyBorder="1" applyAlignment="1">
      <alignment horizontal="left" vertical="center"/>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9" fillId="0" borderId="3"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5" xfId="0" applyFont="1" applyBorder="1" applyAlignment="1">
      <alignment horizontal="left" vertical="center" wrapText="1"/>
    </xf>
    <xf numFmtId="0" fontId="9" fillId="0" borderId="1"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4" xfId="0" applyFont="1" applyBorder="1" applyAlignment="1">
      <alignment vertical="center" wrapText="1"/>
    </xf>
    <xf numFmtId="0" fontId="0" fillId="0" borderId="0" xfId="0" applyFont="1" applyBorder="1" applyAlignment="1">
      <alignment horizontal="center" vertical="center"/>
    </xf>
    <xf numFmtId="0" fontId="0" fillId="0" borderId="0" xfId="0" applyFont="1" applyFill="1" applyBorder="1" applyAlignment="1">
      <alignment horizontal="center" vertical="center" wrapText="1"/>
    </xf>
    <xf numFmtId="0" fontId="0" fillId="0" borderId="0" xfId="0" applyFont="1" applyFill="1" applyBorder="1" applyAlignment="1">
      <alignment horizontal="center" vertical="center"/>
    </xf>
    <xf numFmtId="0" fontId="0" fillId="0" borderId="5" xfId="0" applyFont="1" applyFill="1" applyBorder="1" applyAlignment="1">
      <alignment horizontal="center" vertical="center"/>
    </xf>
    <xf numFmtId="0" fontId="0" fillId="0"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FF0000"/>
      </font>
    </dxf>
    <dxf>
      <font>
        <color rgb="FF00B050"/>
      </font>
    </dxf>
  </dxfs>
  <tableStyles count="0" defaultTableStyle="TableStyleMedium2" defaultPivotStyle="PivotStyleLight16"/>
  <colors>
    <mruColors>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a:latin typeface="微软雅黑" panose="020B0503020204020204" charset="-122"/>
                <a:ea typeface="微软雅黑" panose="020B0503020204020204" charset="-122"/>
                <a:cs typeface="微软雅黑" panose="020B0503020204020204" charset="-122"/>
              </a:rPr>
              <a:t>Q2现场问题分析</a:t>
            </a:r>
            <a:endParaRPr lang="en-US" altLang="zh-CN">
              <a:latin typeface="微软雅黑" panose="020B0503020204020204" charset="-122"/>
              <a:ea typeface="微软雅黑" panose="020B0503020204020204" charset="-122"/>
              <a:cs typeface="微软雅黑" panose="020B0503020204020204" charset="-122"/>
            </a:endParaRPr>
          </a:p>
        </c:rich>
      </c:tx>
      <c:layout>
        <c:manualLayout>
          <c:xMode val="edge"/>
          <c:yMode val="edge"/>
          <c:x val="0.331447368421053"/>
          <c:y val="0.0278422273781903"/>
        </c:manualLayout>
      </c:layout>
      <c:overlay val="0"/>
      <c:spPr>
        <a:noFill/>
        <a:ln>
          <a:noFill/>
        </a:ln>
        <a:effectLst/>
      </c:spPr>
    </c:title>
    <c:autoTitleDeleted val="0"/>
    <c:plotArea>
      <c:layout>
        <c:manualLayout>
          <c:layoutTarget val="inner"/>
          <c:xMode val="edge"/>
          <c:yMode val="edge"/>
          <c:x val="0.251908653846154"/>
          <c:y val="0.277658386289236"/>
          <c:w val="0.417576923076923"/>
          <c:h val="0.669023685730792"/>
        </c:manualLayout>
      </c:layout>
      <c:pieChart>
        <c:varyColors val="1"/>
        <c:ser>
          <c:idx val="0"/>
          <c:order val="0"/>
          <c:tx>
            <c:strRef>
              <c:f>汇总!$B$2</c:f>
              <c:strCache>
                <c:ptCount val="1"/>
                <c:pt idx="0">
                  <c:v>问题点数量</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Lbls>
            <c:dLbl>
              <c:idx val="0"/>
              <c:layout>
                <c:manualLayout>
                  <c:x val="0.0476341093117409"/>
                  <c:y val="0.0375505488157134"/>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4"/>
              <c:layout>
                <c:manualLayout>
                  <c:x val="-0.0612980769230769"/>
                  <c:y val="0"/>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6"/>
              <c:layout>
                <c:manualLayout>
                  <c:x val="-0.0450721153846154"/>
                  <c:y val="-4.37846476878937e-17"/>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7"/>
              <c:layout>
                <c:manualLayout>
                  <c:x val="-0.00180288461538462"/>
                  <c:y val="-0.00577700751010981"/>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dLbl>
              <c:idx val="8"/>
              <c:layout>
                <c:manualLayout>
                  <c:x val="0.0216346153846154"/>
                  <c:y val="-0.0346620450606585"/>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微软雅黑" panose="020B0503020204020204" charset="-122"/>
                    <a:cs typeface="+mn-cs"/>
                  </a:defRPr>
                </a:pPr>
              </a:p>
            </c:txPr>
            <c:dLblPos val="out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汇总!$A$3:$A$11</c:f>
              <c:strCache>
                <c:ptCount val="9"/>
                <c:pt idx="0">
                  <c:v>客户</c:v>
                </c:pt>
                <c:pt idx="1">
                  <c:v>采购</c:v>
                </c:pt>
                <c:pt idx="2">
                  <c:v>生产</c:v>
                </c:pt>
                <c:pt idx="3">
                  <c:v>电气</c:v>
                </c:pt>
                <c:pt idx="4">
                  <c:v>测试</c:v>
                </c:pt>
                <c:pt idx="5">
                  <c:v>机械</c:v>
                </c:pt>
                <c:pt idx="6">
                  <c:v>PMC</c:v>
                </c:pt>
                <c:pt idx="7">
                  <c:v>销售</c:v>
                </c:pt>
                <c:pt idx="8">
                  <c:v>研发</c:v>
                </c:pt>
              </c:strCache>
            </c:strRef>
          </c:cat>
          <c:val>
            <c:numRef>
              <c:f>汇总!$B$3:$B$11</c:f>
              <c:numCache>
                <c:formatCode>General</c:formatCode>
                <c:ptCount val="9"/>
                <c:pt idx="0">
                  <c:v>6</c:v>
                </c:pt>
                <c:pt idx="1">
                  <c:v>55</c:v>
                </c:pt>
                <c:pt idx="2">
                  <c:v>46</c:v>
                </c:pt>
                <c:pt idx="3">
                  <c:v>53</c:v>
                </c:pt>
                <c:pt idx="4">
                  <c:v>63</c:v>
                </c:pt>
                <c:pt idx="5">
                  <c:v>133</c:v>
                </c:pt>
                <c:pt idx="6">
                  <c:v>4</c:v>
                </c:pt>
                <c:pt idx="7">
                  <c:v>9</c:v>
                </c:pt>
                <c:pt idx="8">
                  <c:v>3</c:v>
                </c:pt>
              </c:numCache>
            </c:numRef>
          </c:val>
        </c:ser>
        <c:dLbls>
          <c:showLegendKey val="0"/>
          <c:showVal val="0"/>
          <c:showCatName val="1"/>
          <c:showSerName val="0"/>
          <c:showPercent val="1"/>
          <c:showBubbleSize val="0"/>
          <c:showLeaderLines val="1"/>
        </c:dLbls>
        <c:firstSliceAng val="0"/>
      </c:pieChart>
      <c:spPr>
        <a:noFill/>
        <a:ln>
          <a:noFill/>
        </a:ln>
        <a:effectLst/>
      </c:spPr>
    </c:plotArea>
    <c:legend>
      <c:legendPos val="t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0f3b805-c481-4d08-9b8e-cf15183142ee}"/>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a:latin typeface="微软雅黑" panose="020B0503020204020204" charset="-122"/>
                <a:ea typeface="微软雅黑" panose="020B0503020204020204" charset="-122"/>
                <a:cs typeface="微软雅黑" panose="020B0503020204020204" charset="-122"/>
              </a:rPr>
              <a:t>Q2按项目量不良率</a:t>
            </a:r>
            <a:endParaRPr lang="en-US" altLang="zh-CN">
              <a:latin typeface="微软雅黑" panose="020B0503020204020204" charset="-122"/>
              <a:ea typeface="微软雅黑" panose="020B0503020204020204" charset="-122"/>
              <a:cs typeface="微软雅黑" panose="020B0503020204020204" charset="-122"/>
            </a:endParaRPr>
          </a:p>
        </c:rich>
      </c:tx>
      <c:layout/>
      <c:overlay val="0"/>
      <c:spPr>
        <a:noFill/>
        <a:ln>
          <a:noFill/>
        </a:ln>
        <a:effectLst/>
      </c:spPr>
    </c:title>
    <c:autoTitleDeleted val="0"/>
    <c:plotArea>
      <c:layout/>
      <c:pieChart>
        <c:varyColors val="1"/>
        <c:ser>
          <c:idx val="0"/>
          <c:order val="0"/>
          <c:tx>
            <c:strRef>
              <c:f>汇总!$D$2</c:f>
              <c:strCache>
                <c:ptCount val="1"/>
                <c:pt idx="0">
                  <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Lbls>
            <c:dLbl>
              <c:idx val="0"/>
              <c:layout>
                <c:manualLayout>
                  <c:x val="0.0399941825909747"/>
                  <c:y val="0.0119523150120721"/>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4"/>
              <c:layout>
                <c:manualLayout>
                  <c:x val="-0.0564263322884013"/>
                  <c:y val="0"/>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6"/>
              <c:layout>
                <c:manualLayout>
                  <c:x val="-0.0413793103448276"/>
                  <c:y val="0.0181854920185896"/>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8"/>
              <c:layout>
                <c:manualLayout>
                  <c:x val="0.013166144200627"/>
                  <c:y val="0"/>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微软雅黑" panose="020B0503020204020204" charset="-122"/>
                    <a:cs typeface="+mn-cs"/>
                  </a:defRPr>
                </a:pPr>
              </a:p>
            </c:txPr>
            <c:dLblPos val="outEnd"/>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汇总!$A$3:$A$11</c:f>
              <c:strCache>
                <c:ptCount val="9"/>
                <c:pt idx="0">
                  <c:v>客户</c:v>
                </c:pt>
                <c:pt idx="1">
                  <c:v>采购</c:v>
                </c:pt>
                <c:pt idx="2">
                  <c:v>生产</c:v>
                </c:pt>
                <c:pt idx="3">
                  <c:v>电气</c:v>
                </c:pt>
                <c:pt idx="4">
                  <c:v>测试</c:v>
                </c:pt>
                <c:pt idx="5">
                  <c:v>机械</c:v>
                </c:pt>
                <c:pt idx="6">
                  <c:v>PMC</c:v>
                </c:pt>
                <c:pt idx="7">
                  <c:v>销售</c:v>
                </c:pt>
                <c:pt idx="8">
                  <c:v>研发</c:v>
                </c:pt>
              </c:strCache>
            </c:strRef>
          </c:cat>
          <c:val>
            <c:numRef>
              <c:f>汇总!$D$3:$D$11</c:f>
              <c:numCache>
                <c:formatCode>0%</c:formatCode>
                <c:ptCount val="9"/>
                <c:pt idx="0">
                  <c:v>0.0967741935483871</c:v>
                </c:pt>
                <c:pt idx="1">
                  <c:v>0.544554455445545</c:v>
                </c:pt>
                <c:pt idx="2">
                  <c:v>0.455445544554455</c:v>
                </c:pt>
                <c:pt idx="3">
                  <c:v>0.524752475247525</c:v>
                </c:pt>
                <c:pt idx="4">
                  <c:v>0.623762376237624</c:v>
                </c:pt>
                <c:pt idx="5">
                  <c:v>1.31683168316832</c:v>
                </c:pt>
                <c:pt idx="6">
                  <c:v>0.0571428571428571</c:v>
                </c:pt>
                <c:pt idx="7">
                  <c:v>0.128571428571429</c:v>
                </c:pt>
                <c:pt idx="8">
                  <c:v>0.0769230769230769</c:v>
                </c:pt>
              </c:numCache>
            </c:numRef>
          </c:val>
        </c:ser>
        <c:dLbls>
          <c:showLegendKey val="0"/>
          <c:showVal val="1"/>
          <c:showCatName val="1"/>
          <c:showSerName val="0"/>
          <c:showPercent val="0"/>
          <c:showBubbleSize val="0"/>
          <c:showLeaderLines val="1"/>
        </c:dLbls>
        <c:firstSliceAng val="0"/>
      </c:pieChart>
      <c:spPr>
        <a:noFill/>
        <a:ln>
          <a:noFill/>
        </a:ln>
        <a:effectLst/>
      </c:spPr>
    </c:plotArea>
    <c:legend>
      <c:legendPos val="t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800ad9c-afcb-460b-8420-682f8537c290}"/>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a:latin typeface="微软雅黑" panose="020B0503020204020204" charset="-122"/>
                <a:ea typeface="微软雅黑" panose="020B0503020204020204" charset="-122"/>
                <a:cs typeface="微软雅黑" panose="020B0503020204020204" charset="-122"/>
              </a:rPr>
              <a:t>Q2按设备量不良率</a:t>
            </a:r>
            <a:endParaRPr lang="en-US" altLang="zh-CN">
              <a:latin typeface="微软雅黑" panose="020B0503020204020204" charset="-122"/>
              <a:ea typeface="微软雅黑" panose="020B0503020204020204" charset="-122"/>
              <a:cs typeface="微软雅黑" panose="020B0503020204020204" charset="-122"/>
            </a:endParaRPr>
          </a:p>
        </c:rich>
      </c:tx>
      <c:layout>
        <c:manualLayout>
          <c:xMode val="edge"/>
          <c:yMode val="edge"/>
          <c:x val="0.325270528325907"/>
          <c:y val="0.0265839610101905"/>
        </c:manualLayout>
      </c:layout>
      <c:overlay val="0"/>
      <c:spPr>
        <a:noFill/>
        <a:ln>
          <a:noFill/>
        </a:ln>
        <a:effectLst/>
      </c:spPr>
    </c:title>
    <c:autoTitleDeleted val="0"/>
    <c:plotArea>
      <c:layout>
        <c:manualLayout>
          <c:layoutTarget val="inner"/>
          <c:xMode val="edge"/>
          <c:yMode val="edge"/>
          <c:x val="0.264262533301041"/>
          <c:y val="0.267966241251544"/>
          <c:w val="0.385013320416566"/>
          <c:h val="0.654475092630712"/>
        </c:manualLayout>
      </c:layout>
      <c:pieChart>
        <c:varyColors val="1"/>
        <c:ser>
          <c:idx val="0"/>
          <c:order val="0"/>
          <c:tx>
            <c:strRef>
              <c:f>汇总!$F$2</c:f>
              <c:strCache>
                <c:ptCount val="1"/>
                <c:pt idx="0">
                  <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Lbls>
            <c:dLbl>
              <c:idx val="0"/>
              <c:layout>
                <c:manualLayout>
                  <c:x val="0.048060711283688"/>
                  <c:y val="0.0299930337592146"/>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6"/>
              <c:layout>
                <c:manualLayout>
                  <c:x val="-0.0421872469025634"/>
                  <c:y val="0.00626809465012613"/>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8"/>
              <c:layout>
                <c:manualLayout>
                  <c:x val="0.0308791474933398"/>
                  <c:y val="-0.0185261424454508"/>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微软雅黑" panose="020B0503020204020204" charset="-122"/>
                    <a:cs typeface="+mn-cs"/>
                  </a:defRPr>
                </a:pPr>
              </a:p>
            </c:txPr>
            <c:dLblPos val="outEnd"/>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汇总!$A$3:$A$11</c:f>
              <c:strCache>
                <c:ptCount val="9"/>
                <c:pt idx="0">
                  <c:v>客户</c:v>
                </c:pt>
                <c:pt idx="1">
                  <c:v>采购</c:v>
                </c:pt>
                <c:pt idx="2">
                  <c:v>生产</c:v>
                </c:pt>
                <c:pt idx="3">
                  <c:v>电气</c:v>
                </c:pt>
                <c:pt idx="4">
                  <c:v>测试</c:v>
                </c:pt>
                <c:pt idx="5">
                  <c:v>机械</c:v>
                </c:pt>
                <c:pt idx="6">
                  <c:v>PMC</c:v>
                </c:pt>
                <c:pt idx="7">
                  <c:v>销售</c:v>
                </c:pt>
                <c:pt idx="8">
                  <c:v>研发</c:v>
                </c:pt>
              </c:strCache>
            </c:strRef>
          </c:cat>
          <c:val>
            <c:numRef>
              <c:f>汇总!$F$3:$F$11</c:f>
              <c:numCache>
                <c:formatCode>0.0%</c:formatCode>
                <c:ptCount val="9"/>
                <c:pt idx="0">
                  <c:v>0.0218978102189781</c:v>
                </c:pt>
                <c:pt idx="1">
                  <c:v>0.06875</c:v>
                </c:pt>
                <c:pt idx="2">
                  <c:v>0.0575</c:v>
                </c:pt>
                <c:pt idx="3">
                  <c:v>0.06625</c:v>
                </c:pt>
                <c:pt idx="4">
                  <c:v>0.07875</c:v>
                </c:pt>
                <c:pt idx="5">
                  <c:v>0.16625</c:v>
                </c:pt>
                <c:pt idx="6">
                  <c:v>0.00572246065808298</c:v>
                </c:pt>
                <c:pt idx="7">
                  <c:v>0.0143540669856459</c:v>
                </c:pt>
                <c:pt idx="8">
                  <c:v>0.00570342205323194</c:v>
                </c:pt>
              </c:numCache>
            </c:numRef>
          </c:val>
        </c:ser>
        <c:dLbls>
          <c:showLegendKey val="0"/>
          <c:showVal val="1"/>
          <c:showCatName val="1"/>
          <c:showSerName val="0"/>
          <c:showPercent val="0"/>
          <c:showBubbleSize val="0"/>
          <c:showLeaderLines val="1"/>
        </c:dLbls>
        <c:firstSliceAng val="0"/>
      </c:pieChart>
      <c:spPr>
        <a:noFill/>
        <a:ln>
          <a:noFill/>
        </a:ln>
        <a:effectLst/>
      </c:spPr>
    </c:plotArea>
    <c:legend>
      <c:legendPos val="t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e5a79ae-707a-491b-b3d5-e108a07ae52b}"/>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647700</xdr:colOff>
      <xdr:row>0</xdr:row>
      <xdr:rowOff>47625</xdr:rowOff>
    </xdr:from>
    <xdr:to>
      <xdr:col>16</xdr:col>
      <xdr:colOff>663575</xdr:colOff>
      <xdr:row>10</xdr:row>
      <xdr:rowOff>182245</xdr:rowOff>
    </xdr:to>
    <xdr:graphicFrame>
      <xdr:nvGraphicFramePr>
        <xdr:cNvPr id="2" name="图表 1"/>
        <xdr:cNvGraphicFramePr/>
      </xdr:nvGraphicFramePr>
      <xdr:xfrm>
        <a:off x="6838950" y="47625"/>
        <a:ext cx="5502275" cy="3322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14</xdr:row>
      <xdr:rowOff>47625</xdr:rowOff>
    </xdr:from>
    <xdr:to>
      <xdr:col>6</xdr:col>
      <xdr:colOff>263525</xdr:colOff>
      <xdr:row>31</xdr:row>
      <xdr:rowOff>113665</xdr:rowOff>
    </xdr:to>
    <xdr:graphicFrame>
      <xdr:nvGraphicFramePr>
        <xdr:cNvPr id="4" name="图表 3"/>
        <xdr:cNvGraphicFramePr/>
      </xdr:nvGraphicFramePr>
      <xdr:xfrm>
        <a:off x="19050" y="4064000"/>
        <a:ext cx="5064125" cy="314261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6350</xdr:colOff>
      <xdr:row>14</xdr:row>
      <xdr:rowOff>57150</xdr:rowOff>
    </xdr:from>
    <xdr:to>
      <xdr:col>17</xdr:col>
      <xdr:colOff>11430</xdr:colOff>
      <xdr:row>31</xdr:row>
      <xdr:rowOff>46990</xdr:rowOff>
    </xdr:to>
    <xdr:graphicFrame>
      <xdr:nvGraphicFramePr>
        <xdr:cNvPr id="5" name="图表 4"/>
        <xdr:cNvGraphicFramePr/>
      </xdr:nvGraphicFramePr>
      <xdr:xfrm>
        <a:off x="6883400" y="4073525"/>
        <a:ext cx="5491480" cy="306641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1"/>
  <sheetViews>
    <sheetView workbookViewId="0">
      <pane xSplit="1" ySplit="2" topLeftCell="B3" activePane="bottomRight" state="frozen"/>
      <selection/>
      <selection pane="topRight"/>
      <selection pane="bottomLeft"/>
      <selection pane="bottomRight" activeCell="D20" sqref="D20"/>
    </sheetView>
  </sheetViews>
  <sheetFormatPr defaultColWidth="11" defaultRowHeight="14.25"/>
  <cols>
    <col min="1" max="1" width="11" style="241"/>
    <col min="2" max="2" width="11" style="242"/>
    <col min="3" max="3" width="11" style="243"/>
    <col min="4" max="4" width="21.2166666666667" style="243" customWidth="1"/>
    <col min="5" max="5" width="14.1666666666667" style="242" customWidth="1"/>
    <col min="6" max="6" width="11" style="242"/>
    <col min="7" max="7" width="12.3583333333333" style="244" customWidth="1"/>
    <col min="8" max="8" width="11.2083333333333" style="242"/>
    <col min="9" max="9" width="11" style="242"/>
    <col min="10" max="10" width="11" style="245"/>
    <col min="11" max="11" width="31.6416666666667" style="246" customWidth="1"/>
    <col min="12" max="12" width="40.6416666666667" style="246" customWidth="1"/>
    <col min="13" max="14" width="9.1" style="246"/>
    <col min="15" max="15" width="15" style="247" customWidth="1"/>
    <col min="16" max="16" width="10.6416666666667" style="247" customWidth="1"/>
    <col min="17" max="18" width="9.1" style="247"/>
    <col min="19" max="19" width="17.425" style="246" customWidth="1"/>
    <col min="20" max="16384" width="11" style="242"/>
  </cols>
  <sheetData>
    <row r="1" ht="31.5" spans="1:19">
      <c r="A1" s="248" t="s">
        <v>0</v>
      </c>
      <c r="B1" s="249"/>
      <c r="C1" s="250"/>
      <c r="D1" s="250"/>
      <c r="E1" s="249"/>
      <c r="F1" s="249"/>
      <c r="G1" s="251"/>
      <c r="H1" s="249"/>
      <c r="I1" s="249"/>
      <c r="J1" s="249"/>
      <c r="K1" s="249"/>
      <c r="L1" s="249"/>
      <c r="M1" s="249"/>
      <c r="N1" s="249"/>
      <c r="O1" s="249"/>
      <c r="P1" s="249"/>
      <c r="Q1" s="249"/>
      <c r="R1" s="249"/>
      <c r="S1" s="292"/>
    </row>
    <row r="2" ht="28.5" spans="1:19">
      <c r="A2" s="252" t="s">
        <v>1</v>
      </c>
      <c r="B2" s="253" t="s">
        <v>2</v>
      </c>
      <c r="C2" s="254" t="s">
        <v>3</v>
      </c>
      <c r="D2" s="255" t="s">
        <v>4</v>
      </c>
      <c r="E2" s="256" t="s">
        <v>5</v>
      </c>
      <c r="F2" s="253" t="s">
        <v>6</v>
      </c>
      <c r="G2" s="257" t="s">
        <v>7</v>
      </c>
      <c r="H2" s="253" t="s">
        <v>8</v>
      </c>
      <c r="I2" s="254" t="s">
        <v>9</v>
      </c>
      <c r="J2" s="253" t="s">
        <v>10</v>
      </c>
      <c r="K2" s="277" t="s">
        <v>11</v>
      </c>
      <c r="L2" s="277" t="s">
        <v>12</v>
      </c>
      <c r="M2" s="277" t="s">
        <v>13</v>
      </c>
      <c r="N2" s="277" t="s">
        <v>14</v>
      </c>
      <c r="O2" s="277" t="s">
        <v>15</v>
      </c>
      <c r="P2" s="277" t="s">
        <v>16</v>
      </c>
      <c r="Q2" s="277" t="s">
        <v>17</v>
      </c>
      <c r="R2" s="277" t="s">
        <v>18</v>
      </c>
      <c r="S2" s="277" t="s">
        <v>19</v>
      </c>
    </row>
    <row r="3" s="236" customFormat="1" ht="24" spans="1:19">
      <c r="A3" s="45" t="s">
        <v>20</v>
      </c>
      <c r="B3" s="45" t="s">
        <v>21</v>
      </c>
      <c r="C3" s="45" t="s">
        <v>22</v>
      </c>
      <c r="D3" s="45" t="s">
        <v>23</v>
      </c>
      <c r="E3" s="45" t="s">
        <v>24</v>
      </c>
      <c r="F3" s="45">
        <v>77</v>
      </c>
      <c r="G3" s="45">
        <v>2024.9</v>
      </c>
      <c r="H3" s="45">
        <v>22</v>
      </c>
      <c r="I3" s="45">
        <v>77</v>
      </c>
      <c r="J3" s="45" t="s">
        <v>25</v>
      </c>
      <c r="K3" s="29" t="s">
        <v>26</v>
      </c>
      <c r="L3" s="29" t="s">
        <v>27</v>
      </c>
      <c r="M3" s="278" t="s">
        <v>28</v>
      </c>
      <c r="N3" s="100" t="s">
        <v>29</v>
      </c>
      <c r="O3" s="103" t="s">
        <v>30</v>
      </c>
      <c r="P3" s="103" t="s">
        <v>31</v>
      </c>
      <c r="Q3" s="100"/>
      <c r="R3" s="100"/>
      <c r="S3" s="100"/>
    </row>
    <row r="4" s="236" customFormat="1" ht="24" spans="1:19">
      <c r="A4" s="45"/>
      <c r="B4" s="45"/>
      <c r="C4" s="45"/>
      <c r="D4" s="45"/>
      <c r="E4" s="45"/>
      <c r="F4" s="45"/>
      <c r="G4" s="45"/>
      <c r="H4" s="45"/>
      <c r="I4" s="45"/>
      <c r="J4" s="45"/>
      <c r="K4" s="29" t="s">
        <v>32</v>
      </c>
      <c r="L4" s="29" t="s">
        <v>33</v>
      </c>
      <c r="M4" s="278" t="s">
        <v>28</v>
      </c>
      <c r="N4" s="100" t="s">
        <v>29</v>
      </c>
      <c r="O4" s="279"/>
      <c r="P4" s="279"/>
      <c r="Q4" s="100"/>
      <c r="R4" s="100"/>
      <c r="S4" s="100"/>
    </row>
    <row r="5" s="236" customFormat="1" ht="24" spans="1:19">
      <c r="A5" s="45"/>
      <c r="B5" s="45"/>
      <c r="C5" s="45"/>
      <c r="D5" s="45"/>
      <c r="E5" s="45"/>
      <c r="F5" s="45"/>
      <c r="G5" s="45"/>
      <c r="H5" s="45"/>
      <c r="I5" s="45"/>
      <c r="J5" s="45"/>
      <c r="K5" s="29" t="s">
        <v>34</v>
      </c>
      <c r="L5" s="29" t="s">
        <v>35</v>
      </c>
      <c r="M5" s="280" t="s">
        <v>36</v>
      </c>
      <c r="N5" s="100" t="s">
        <v>37</v>
      </c>
      <c r="O5" s="279"/>
      <c r="P5" s="279"/>
      <c r="Q5" s="100"/>
      <c r="R5" s="100"/>
      <c r="S5" s="100"/>
    </row>
    <row r="6" s="236" customFormat="1" ht="24" spans="1:19">
      <c r="A6" s="45"/>
      <c r="B6" s="45"/>
      <c r="C6" s="45"/>
      <c r="D6" s="45"/>
      <c r="E6" s="45"/>
      <c r="F6" s="45"/>
      <c r="G6" s="45"/>
      <c r="H6" s="45"/>
      <c r="I6" s="45"/>
      <c r="J6" s="45"/>
      <c r="K6" s="29" t="s">
        <v>38</v>
      </c>
      <c r="L6" s="29" t="s">
        <v>39</v>
      </c>
      <c r="M6" s="280" t="s">
        <v>36</v>
      </c>
      <c r="N6" s="100" t="s">
        <v>37</v>
      </c>
      <c r="O6" s="279"/>
      <c r="P6" s="279"/>
      <c r="Q6" s="100"/>
      <c r="R6" s="100"/>
      <c r="S6" s="100"/>
    </row>
    <row r="7" s="236" customFormat="1" ht="24" spans="1:19">
      <c r="A7" s="45"/>
      <c r="B7" s="45"/>
      <c r="C7" s="45"/>
      <c r="D7" s="45"/>
      <c r="E7" s="45"/>
      <c r="F7" s="45"/>
      <c r="G7" s="45"/>
      <c r="H7" s="45"/>
      <c r="I7" s="45"/>
      <c r="J7" s="45"/>
      <c r="K7" s="29" t="s">
        <v>40</v>
      </c>
      <c r="L7" s="29" t="s">
        <v>41</v>
      </c>
      <c r="M7" s="280" t="s">
        <v>36</v>
      </c>
      <c r="N7" s="100" t="s">
        <v>37</v>
      </c>
      <c r="O7" s="279"/>
      <c r="P7" s="279"/>
      <c r="Q7" s="100"/>
      <c r="R7" s="100"/>
      <c r="S7" s="100"/>
    </row>
    <row r="8" s="236" customFormat="1" ht="36" spans="1:19">
      <c r="A8" s="45"/>
      <c r="B8" s="45"/>
      <c r="C8" s="45"/>
      <c r="D8" s="45"/>
      <c r="E8" s="45"/>
      <c r="F8" s="45"/>
      <c r="G8" s="45"/>
      <c r="H8" s="45"/>
      <c r="I8" s="45"/>
      <c r="J8" s="45"/>
      <c r="K8" s="29" t="s">
        <v>42</v>
      </c>
      <c r="L8" s="29" t="s">
        <v>43</v>
      </c>
      <c r="M8" s="280" t="s">
        <v>44</v>
      </c>
      <c r="N8" s="100" t="s">
        <v>45</v>
      </c>
      <c r="O8" s="279"/>
      <c r="P8" s="279"/>
      <c r="Q8" s="100"/>
      <c r="R8" s="100"/>
      <c r="S8" s="100"/>
    </row>
    <row r="9" s="236" customFormat="1" ht="36" spans="1:19">
      <c r="A9" s="45"/>
      <c r="B9" s="45"/>
      <c r="C9" s="45"/>
      <c r="D9" s="45"/>
      <c r="E9" s="45"/>
      <c r="F9" s="45"/>
      <c r="G9" s="45"/>
      <c r="H9" s="45"/>
      <c r="I9" s="45"/>
      <c r="J9" s="45"/>
      <c r="K9" s="29" t="s">
        <v>46</v>
      </c>
      <c r="L9" s="29" t="s">
        <v>47</v>
      </c>
      <c r="M9" s="280" t="s">
        <v>44</v>
      </c>
      <c r="N9" s="100" t="s">
        <v>45</v>
      </c>
      <c r="O9" s="279"/>
      <c r="P9" s="279"/>
      <c r="Q9" s="100"/>
      <c r="R9" s="100"/>
      <c r="S9" s="100"/>
    </row>
    <row r="10" s="236" customFormat="1" ht="24" spans="1:19">
      <c r="A10" s="45"/>
      <c r="B10" s="45"/>
      <c r="C10" s="45"/>
      <c r="D10" s="45"/>
      <c r="E10" s="45"/>
      <c r="F10" s="45"/>
      <c r="G10" s="45"/>
      <c r="H10" s="45"/>
      <c r="I10" s="45"/>
      <c r="J10" s="45"/>
      <c r="K10" s="29" t="s">
        <v>48</v>
      </c>
      <c r="L10" s="29" t="s">
        <v>49</v>
      </c>
      <c r="M10" s="280" t="s">
        <v>44</v>
      </c>
      <c r="N10" s="100" t="s">
        <v>45</v>
      </c>
      <c r="O10" s="279"/>
      <c r="P10" s="279"/>
      <c r="Q10" s="100"/>
      <c r="R10" s="100"/>
      <c r="S10" s="100"/>
    </row>
    <row r="11" s="236" customFormat="1" spans="1:19">
      <c r="A11" s="45"/>
      <c r="B11" s="45"/>
      <c r="C11" s="45"/>
      <c r="D11" s="45"/>
      <c r="E11" s="45"/>
      <c r="F11" s="45"/>
      <c r="G11" s="45"/>
      <c r="H11" s="45"/>
      <c r="I11" s="45"/>
      <c r="J11" s="45"/>
      <c r="K11" s="29" t="s">
        <v>50</v>
      </c>
      <c r="L11" s="29" t="s">
        <v>51</v>
      </c>
      <c r="M11" s="280" t="s">
        <v>52</v>
      </c>
      <c r="N11" s="100" t="s">
        <v>53</v>
      </c>
      <c r="O11" s="279"/>
      <c r="P11" s="279"/>
      <c r="Q11" s="100"/>
      <c r="R11" s="100"/>
      <c r="S11" s="100"/>
    </row>
    <row r="12" s="236" customFormat="1" ht="24" spans="1:19">
      <c r="A12" s="45"/>
      <c r="B12" s="45"/>
      <c r="C12" s="45"/>
      <c r="D12" s="45"/>
      <c r="E12" s="45"/>
      <c r="F12" s="45"/>
      <c r="G12" s="45"/>
      <c r="H12" s="45"/>
      <c r="I12" s="45"/>
      <c r="J12" s="45"/>
      <c r="K12" s="29" t="s">
        <v>54</v>
      </c>
      <c r="L12" s="29" t="s">
        <v>55</v>
      </c>
      <c r="M12" s="280" t="s">
        <v>44</v>
      </c>
      <c r="N12" s="100" t="s">
        <v>45</v>
      </c>
      <c r="O12" s="279"/>
      <c r="P12" s="279"/>
      <c r="Q12" s="100"/>
      <c r="R12" s="100"/>
      <c r="S12" s="100"/>
    </row>
    <row r="13" s="236" customFormat="1" ht="24" spans="1:19">
      <c r="A13" s="45"/>
      <c r="B13" s="45"/>
      <c r="C13" s="45"/>
      <c r="D13" s="45"/>
      <c r="E13" s="45"/>
      <c r="F13" s="45"/>
      <c r="G13" s="45"/>
      <c r="H13" s="45"/>
      <c r="I13" s="45"/>
      <c r="J13" s="45"/>
      <c r="K13" s="29" t="s">
        <v>56</v>
      </c>
      <c r="L13" s="29" t="s">
        <v>57</v>
      </c>
      <c r="M13" s="280" t="s">
        <v>44</v>
      </c>
      <c r="N13" s="100" t="s">
        <v>45</v>
      </c>
      <c r="O13" s="279"/>
      <c r="P13" s="279"/>
      <c r="Q13" s="100"/>
      <c r="R13" s="100"/>
      <c r="S13" s="100"/>
    </row>
    <row r="14" s="236" customFormat="1" ht="24" spans="1:19">
      <c r="A14" s="45"/>
      <c r="B14" s="45"/>
      <c r="C14" s="45"/>
      <c r="D14" s="45"/>
      <c r="E14" s="45"/>
      <c r="F14" s="45"/>
      <c r="G14" s="45"/>
      <c r="H14" s="45"/>
      <c r="I14" s="45"/>
      <c r="J14" s="45"/>
      <c r="K14" s="29" t="s">
        <v>58</v>
      </c>
      <c r="L14" s="29" t="s">
        <v>59</v>
      </c>
      <c r="M14" s="280" t="s">
        <v>44</v>
      </c>
      <c r="N14" s="100" t="s">
        <v>45</v>
      </c>
      <c r="O14" s="279"/>
      <c r="P14" s="279"/>
      <c r="Q14" s="100"/>
      <c r="R14" s="100"/>
      <c r="S14" s="100"/>
    </row>
    <row r="15" s="236" customFormat="1" ht="36" spans="1:19">
      <c r="A15" s="45"/>
      <c r="B15" s="45"/>
      <c r="C15" s="45"/>
      <c r="D15" s="45"/>
      <c r="E15" s="45"/>
      <c r="F15" s="45"/>
      <c r="G15" s="45"/>
      <c r="H15" s="45"/>
      <c r="I15" s="45"/>
      <c r="J15" s="45"/>
      <c r="K15" s="29" t="s">
        <v>60</v>
      </c>
      <c r="L15" s="29" t="s">
        <v>61</v>
      </c>
      <c r="M15" s="280" t="s">
        <v>36</v>
      </c>
      <c r="N15" s="100" t="s">
        <v>37</v>
      </c>
      <c r="O15" s="279"/>
      <c r="P15" s="279"/>
      <c r="Q15" s="100"/>
      <c r="R15" s="100"/>
      <c r="S15" s="100"/>
    </row>
    <row r="16" s="237" customFormat="1" ht="27" spans="1:19">
      <c r="A16" s="258" t="s">
        <v>62</v>
      </c>
      <c r="B16" s="258" t="s">
        <v>63</v>
      </c>
      <c r="C16" s="258" t="s">
        <v>64</v>
      </c>
      <c r="D16" s="160" t="s">
        <v>65</v>
      </c>
      <c r="E16" s="160" t="s">
        <v>66</v>
      </c>
      <c r="F16" s="160">
        <v>1</v>
      </c>
      <c r="G16" s="160">
        <v>2024.6</v>
      </c>
      <c r="H16" s="160">
        <v>29</v>
      </c>
      <c r="I16" s="160">
        <v>1</v>
      </c>
      <c r="J16" s="272" t="s">
        <v>67</v>
      </c>
      <c r="K16" s="281" t="s">
        <v>68</v>
      </c>
      <c r="L16" s="282" t="s">
        <v>69</v>
      </c>
      <c r="M16" s="278" t="s">
        <v>70</v>
      </c>
      <c r="N16" s="100" t="s">
        <v>71</v>
      </c>
      <c r="O16" s="279" t="s">
        <v>72</v>
      </c>
      <c r="P16" s="279" t="s">
        <v>73</v>
      </c>
      <c r="Q16" s="128"/>
      <c r="R16" s="128"/>
      <c r="S16" s="106"/>
    </row>
    <row r="17" s="237" customFormat="1" ht="54" spans="1:19">
      <c r="A17" s="259"/>
      <c r="B17" s="259"/>
      <c r="C17" s="259"/>
      <c r="D17" s="87"/>
      <c r="E17" s="87"/>
      <c r="F17" s="87"/>
      <c r="G17" s="87"/>
      <c r="H17" s="87"/>
      <c r="I17" s="87"/>
      <c r="J17" s="273"/>
      <c r="K17" s="281" t="s">
        <v>74</v>
      </c>
      <c r="L17" s="282" t="s">
        <v>75</v>
      </c>
      <c r="M17" s="278" t="s">
        <v>70</v>
      </c>
      <c r="N17" s="100" t="s">
        <v>71</v>
      </c>
      <c r="O17" s="279"/>
      <c r="P17" s="279"/>
      <c r="Q17" s="128"/>
      <c r="R17" s="128"/>
      <c r="S17" s="106"/>
    </row>
    <row r="18" s="237" customFormat="1" ht="54" spans="1:19">
      <c r="A18" s="259"/>
      <c r="B18" s="259"/>
      <c r="C18" s="259"/>
      <c r="D18" s="88" t="s">
        <v>76</v>
      </c>
      <c r="E18" s="88" t="s">
        <v>77</v>
      </c>
      <c r="F18" s="88">
        <v>1</v>
      </c>
      <c r="G18" s="88">
        <v>2024.6</v>
      </c>
      <c r="H18" s="88">
        <v>29</v>
      </c>
      <c r="I18" s="88">
        <v>1</v>
      </c>
      <c r="J18" s="273"/>
      <c r="K18" s="281" t="s">
        <v>78</v>
      </c>
      <c r="L18" s="282" t="s">
        <v>79</v>
      </c>
      <c r="M18" s="280" t="s">
        <v>36</v>
      </c>
      <c r="N18" s="100" t="s">
        <v>37</v>
      </c>
      <c r="O18" s="279"/>
      <c r="P18" s="279"/>
      <c r="Q18" s="43"/>
      <c r="R18" s="43"/>
      <c r="S18" s="45"/>
    </row>
    <row r="19" s="237" customFormat="1" ht="27" spans="1:19">
      <c r="A19" s="259"/>
      <c r="B19" s="259"/>
      <c r="C19" s="259"/>
      <c r="D19" s="88" t="s">
        <v>80</v>
      </c>
      <c r="E19" s="88" t="s">
        <v>81</v>
      </c>
      <c r="F19" s="88">
        <v>1</v>
      </c>
      <c r="G19" s="88">
        <v>2024.7</v>
      </c>
      <c r="H19" s="88">
        <v>19</v>
      </c>
      <c r="I19" s="88">
        <v>1</v>
      </c>
      <c r="J19" s="273"/>
      <c r="K19" s="281" t="s">
        <v>82</v>
      </c>
      <c r="L19" s="282" t="s">
        <v>83</v>
      </c>
      <c r="M19" s="278" t="s">
        <v>84</v>
      </c>
      <c r="N19" s="278" t="s">
        <v>84</v>
      </c>
      <c r="O19" s="279"/>
      <c r="P19" s="279"/>
      <c r="Q19" s="43"/>
      <c r="R19" s="43"/>
      <c r="S19" s="45"/>
    </row>
    <row r="20" s="237" customFormat="1" ht="27" spans="1:19">
      <c r="A20" s="259"/>
      <c r="B20" s="259"/>
      <c r="C20" s="259"/>
      <c r="D20" s="260" t="s">
        <v>85</v>
      </c>
      <c r="E20" s="260" t="s">
        <v>86</v>
      </c>
      <c r="F20" s="260">
        <v>1</v>
      </c>
      <c r="G20" s="260">
        <v>2025.3</v>
      </c>
      <c r="H20" s="260">
        <v>21</v>
      </c>
      <c r="I20" s="260">
        <v>1</v>
      </c>
      <c r="J20" s="273"/>
      <c r="K20" s="281" t="s">
        <v>87</v>
      </c>
      <c r="L20" s="282" t="s">
        <v>88</v>
      </c>
      <c r="M20" s="280" t="s">
        <v>36</v>
      </c>
      <c r="N20" s="100" t="s">
        <v>37</v>
      </c>
      <c r="O20" s="279"/>
      <c r="P20" s="279"/>
      <c r="Q20" s="43"/>
      <c r="R20" s="43"/>
      <c r="S20" s="45"/>
    </row>
    <row r="21" s="237" customFormat="1" ht="67.5" spans="1:19">
      <c r="A21" s="259"/>
      <c r="B21" s="259"/>
      <c r="C21" s="259"/>
      <c r="D21" s="261" t="s">
        <v>89</v>
      </c>
      <c r="E21" s="261" t="s">
        <v>90</v>
      </c>
      <c r="F21" s="260">
        <v>1</v>
      </c>
      <c r="G21" s="260">
        <v>2024.5</v>
      </c>
      <c r="H21" s="260">
        <v>13</v>
      </c>
      <c r="I21" s="260">
        <v>1</v>
      </c>
      <c r="J21" s="273"/>
      <c r="K21" s="281" t="s">
        <v>91</v>
      </c>
      <c r="L21" s="282" t="s">
        <v>92</v>
      </c>
      <c r="M21" s="280" t="s">
        <v>44</v>
      </c>
      <c r="N21" s="100" t="s">
        <v>45</v>
      </c>
      <c r="O21" s="279"/>
      <c r="P21" s="279"/>
      <c r="Q21" s="43"/>
      <c r="R21" s="44"/>
      <c r="S21" s="45"/>
    </row>
    <row r="22" s="237" customFormat="1" ht="49.5" spans="1:19">
      <c r="A22" s="259"/>
      <c r="B22" s="259"/>
      <c r="C22" s="259"/>
      <c r="D22" s="261" t="s">
        <v>93</v>
      </c>
      <c r="E22" s="261" t="s">
        <v>94</v>
      </c>
      <c r="F22" s="260">
        <v>4</v>
      </c>
      <c r="G22" s="260">
        <v>2025.4</v>
      </c>
      <c r="H22" s="260">
        <v>3</v>
      </c>
      <c r="I22" s="260">
        <v>4</v>
      </c>
      <c r="J22" s="273"/>
      <c r="K22" s="281" t="s">
        <v>95</v>
      </c>
      <c r="L22" s="282" t="s">
        <v>96</v>
      </c>
      <c r="M22" s="280" t="s">
        <v>97</v>
      </c>
      <c r="N22" s="100" t="s">
        <v>98</v>
      </c>
      <c r="O22" s="279"/>
      <c r="P22" s="279"/>
      <c r="Q22" s="43"/>
      <c r="R22" s="44"/>
      <c r="S22" s="45"/>
    </row>
    <row r="23" s="237" customFormat="1" ht="148.5" spans="1:19">
      <c r="A23" s="259"/>
      <c r="B23" s="259"/>
      <c r="C23" s="259"/>
      <c r="D23" s="262" t="s">
        <v>99</v>
      </c>
      <c r="E23" s="262" t="s">
        <v>100</v>
      </c>
      <c r="F23" s="262" t="s">
        <v>101</v>
      </c>
      <c r="G23" s="262">
        <v>2025.4</v>
      </c>
      <c r="H23" s="262">
        <v>8</v>
      </c>
      <c r="I23" s="262" t="s">
        <v>101</v>
      </c>
      <c r="J23" s="273"/>
      <c r="K23" s="281" t="s">
        <v>102</v>
      </c>
      <c r="L23" s="282" t="s">
        <v>103</v>
      </c>
      <c r="M23" s="283" t="s">
        <v>28</v>
      </c>
      <c r="N23" s="283" t="s">
        <v>29</v>
      </c>
      <c r="O23" s="279"/>
      <c r="P23" s="279"/>
      <c r="Q23" s="43"/>
      <c r="R23" s="44"/>
      <c r="S23" s="45"/>
    </row>
    <row r="24" s="237" customFormat="1" ht="54" spans="1:19">
      <c r="A24" s="259"/>
      <c r="B24" s="259"/>
      <c r="C24" s="259"/>
      <c r="D24" s="263"/>
      <c r="E24" s="263"/>
      <c r="F24" s="263"/>
      <c r="G24" s="263"/>
      <c r="H24" s="263"/>
      <c r="I24" s="263"/>
      <c r="J24" s="273"/>
      <c r="K24" s="281" t="s">
        <v>104</v>
      </c>
      <c r="L24" s="282" t="s">
        <v>105</v>
      </c>
      <c r="M24" s="283" t="s">
        <v>70</v>
      </c>
      <c r="N24" s="283" t="s">
        <v>71</v>
      </c>
      <c r="O24" s="279"/>
      <c r="P24" s="279"/>
      <c r="Q24" s="43"/>
      <c r="R24" s="44"/>
      <c r="S24" s="45"/>
    </row>
    <row r="25" s="237" customFormat="1" ht="67.5" spans="1:19">
      <c r="A25" s="259"/>
      <c r="B25" s="259"/>
      <c r="C25" s="259"/>
      <c r="D25" s="263"/>
      <c r="E25" s="263"/>
      <c r="F25" s="263"/>
      <c r="G25" s="263"/>
      <c r="H25" s="263"/>
      <c r="I25" s="263"/>
      <c r="J25" s="273"/>
      <c r="K25" s="281" t="s">
        <v>106</v>
      </c>
      <c r="L25" s="282" t="s">
        <v>107</v>
      </c>
      <c r="M25" s="282" t="s">
        <v>108</v>
      </c>
      <c r="N25" s="282" t="s">
        <v>109</v>
      </c>
      <c r="O25" s="279"/>
      <c r="P25" s="279"/>
      <c r="Q25" s="43"/>
      <c r="R25" s="44"/>
      <c r="S25" s="45"/>
    </row>
    <row r="26" s="237" customFormat="1" ht="81" spans="1:19">
      <c r="A26" s="259"/>
      <c r="B26" s="259"/>
      <c r="C26" s="259"/>
      <c r="D26" s="263"/>
      <c r="E26" s="263"/>
      <c r="F26" s="263"/>
      <c r="G26" s="263"/>
      <c r="H26" s="263"/>
      <c r="I26" s="263"/>
      <c r="J26" s="273"/>
      <c r="K26" s="281" t="s">
        <v>110</v>
      </c>
      <c r="L26" s="282" t="s">
        <v>111</v>
      </c>
      <c r="M26" s="282" t="s">
        <v>108</v>
      </c>
      <c r="N26" s="282" t="s">
        <v>109</v>
      </c>
      <c r="O26" s="279"/>
      <c r="P26" s="279"/>
      <c r="Q26" s="43"/>
      <c r="R26" s="44"/>
      <c r="S26" s="45"/>
    </row>
    <row r="27" s="237" customFormat="1" ht="81" spans="1:19">
      <c r="A27" s="259"/>
      <c r="B27" s="259"/>
      <c r="C27" s="259"/>
      <c r="D27" s="263"/>
      <c r="E27" s="263"/>
      <c r="F27" s="263"/>
      <c r="G27" s="263"/>
      <c r="H27" s="263"/>
      <c r="I27" s="263"/>
      <c r="J27" s="273"/>
      <c r="K27" s="281" t="s">
        <v>112</v>
      </c>
      <c r="L27" s="282" t="s">
        <v>113</v>
      </c>
      <c r="M27" s="282" t="s">
        <v>114</v>
      </c>
      <c r="N27" s="282" t="s">
        <v>115</v>
      </c>
      <c r="O27" s="279"/>
      <c r="P27" s="279"/>
      <c r="Q27" s="43"/>
      <c r="R27" s="44"/>
      <c r="S27" s="45"/>
    </row>
    <row r="28" s="237" customFormat="1" ht="54" spans="1:19">
      <c r="A28" s="259"/>
      <c r="B28" s="259"/>
      <c r="C28" s="259"/>
      <c r="D28" s="263"/>
      <c r="E28" s="263"/>
      <c r="F28" s="263"/>
      <c r="G28" s="263"/>
      <c r="H28" s="263"/>
      <c r="I28" s="263"/>
      <c r="J28" s="273"/>
      <c r="K28" s="281" t="s">
        <v>116</v>
      </c>
      <c r="L28" s="282" t="s">
        <v>117</v>
      </c>
      <c r="M28" s="282" t="s">
        <v>118</v>
      </c>
      <c r="N28" s="282" t="s">
        <v>119</v>
      </c>
      <c r="O28" s="279"/>
      <c r="P28" s="279"/>
      <c r="Q28" s="43"/>
      <c r="R28" s="44"/>
      <c r="S28" s="45"/>
    </row>
    <row r="29" s="237" customFormat="1" ht="27" spans="1:19">
      <c r="A29" s="259"/>
      <c r="B29" s="259"/>
      <c r="C29" s="259"/>
      <c r="D29" s="263"/>
      <c r="E29" s="263"/>
      <c r="F29" s="263"/>
      <c r="G29" s="263"/>
      <c r="H29" s="263"/>
      <c r="I29" s="263"/>
      <c r="J29" s="273"/>
      <c r="K29" s="281" t="s">
        <v>120</v>
      </c>
      <c r="L29" s="282" t="s">
        <v>121</v>
      </c>
      <c r="M29" s="282" t="s">
        <v>70</v>
      </c>
      <c r="N29" s="282" t="s">
        <v>122</v>
      </c>
      <c r="O29" s="279"/>
      <c r="P29" s="279"/>
      <c r="Q29" s="43"/>
      <c r="R29" s="44"/>
      <c r="S29" s="45"/>
    </row>
    <row r="30" s="237" customFormat="1" ht="27" spans="1:19">
      <c r="A30" s="259"/>
      <c r="B30" s="259"/>
      <c r="C30" s="259"/>
      <c r="D30" s="264"/>
      <c r="E30" s="264"/>
      <c r="F30" s="264"/>
      <c r="G30" s="264"/>
      <c r="H30" s="264"/>
      <c r="I30" s="264"/>
      <c r="J30" s="273"/>
      <c r="K30" s="281" t="s">
        <v>123</v>
      </c>
      <c r="L30" s="282" t="s">
        <v>124</v>
      </c>
      <c r="M30" s="282" t="s">
        <v>125</v>
      </c>
      <c r="N30" s="282" t="s">
        <v>126</v>
      </c>
      <c r="O30" s="279"/>
      <c r="P30" s="279"/>
      <c r="Q30" s="43"/>
      <c r="R30" s="44"/>
      <c r="S30" s="45"/>
    </row>
    <row r="31" s="237" customFormat="1" ht="27" spans="1:19">
      <c r="A31" s="259"/>
      <c r="B31" s="259"/>
      <c r="C31" s="259"/>
      <c r="D31" s="262" t="s">
        <v>127</v>
      </c>
      <c r="E31" s="262" t="s">
        <v>128</v>
      </c>
      <c r="F31" s="262" t="s">
        <v>129</v>
      </c>
      <c r="G31" s="262">
        <v>2025.4</v>
      </c>
      <c r="H31" s="262">
        <v>14</v>
      </c>
      <c r="I31" s="262" t="s">
        <v>129</v>
      </c>
      <c r="J31" s="273"/>
      <c r="K31" s="281" t="s">
        <v>130</v>
      </c>
      <c r="L31" s="282" t="s">
        <v>131</v>
      </c>
      <c r="M31" s="282" t="s">
        <v>132</v>
      </c>
      <c r="N31" s="282" t="s">
        <v>133</v>
      </c>
      <c r="O31" s="279"/>
      <c r="P31" s="279"/>
      <c r="Q31" s="43"/>
      <c r="R31" s="44"/>
      <c r="S31" s="45"/>
    </row>
    <row r="32" s="237" customFormat="1" spans="1:19">
      <c r="A32" s="259"/>
      <c r="B32" s="259"/>
      <c r="C32" s="259"/>
      <c r="D32" s="263"/>
      <c r="E32" s="263"/>
      <c r="F32" s="263"/>
      <c r="G32" s="263"/>
      <c r="H32" s="263"/>
      <c r="I32" s="263"/>
      <c r="J32" s="273"/>
      <c r="K32" s="281" t="s">
        <v>134</v>
      </c>
      <c r="L32" s="282" t="s">
        <v>135</v>
      </c>
      <c r="M32" s="282"/>
      <c r="N32" s="282"/>
      <c r="O32" s="279"/>
      <c r="P32" s="279"/>
      <c r="Q32" s="43"/>
      <c r="R32" s="44"/>
      <c r="S32" s="45"/>
    </row>
    <row r="33" s="237" customFormat="1" ht="94.5" spans="1:19">
      <c r="A33" s="259"/>
      <c r="B33" s="259"/>
      <c r="C33" s="259"/>
      <c r="D33" s="263"/>
      <c r="E33" s="263"/>
      <c r="F33" s="263"/>
      <c r="G33" s="263"/>
      <c r="H33" s="263"/>
      <c r="I33" s="263"/>
      <c r="J33" s="273"/>
      <c r="K33" s="281" t="s">
        <v>136</v>
      </c>
      <c r="L33" s="282" t="s">
        <v>137</v>
      </c>
      <c r="M33" s="282" t="s">
        <v>138</v>
      </c>
      <c r="N33" s="282" t="s">
        <v>139</v>
      </c>
      <c r="O33" s="279"/>
      <c r="P33" s="279"/>
      <c r="Q33" s="43"/>
      <c r="R33" s="44"/>
      <c r="S33" s="45"/>
    </row>
    <row r="34" s="237" customFormat="1" ht="54" spans="1:19">
      <c r="A34" s="259"/>
      <c r="B34" s="259"/>
      <c r="C34" s="259"/>
      <c r="D34" s="263"/>
      <c r="E34" s="263"/>
      <c r="F34" s="263"/>
      <c r="G34" s="263"/>
      <c r="H34" s="263"/>
      <c r="I34" s="263"/>
      <c r="J34" s="273"/>
      <c r="K34" s="281" t="s">
        <v>140</v>
      </c>
      <c r="L34" s="282" t="s">
        <v>141</v>
      </c>
      <c r="M34" s="282" t="s">
        <v>132</v>
      </c>
      <c r="N34" s="282" t="s">
        <v>133</v>
      </c>
      <c r="O34" s="279"/>
      <c r="P34" s="279"/>
      <c r="Q34" s="43"/>
      <c r="R34" s="44"/>
      <c r="S34" s="45"/>
    </row>
    <row r="35" s="237" customFormat="1" ht="27" spans="1:19">
      <c r="A35" s="259"/>
      <c r="B35" s="259"/>
      <c r="C35" s="259"/>
      <c r="D35" s="263"/>
      <c r="E35" s="263"/>
      <c r="F35" s="263"/>
      <c r="G35" s="263"/>
      <c r="H35" s="263"/>
      <c r="I35" s="263"/>
      <c r="J35" s="273"/>
      <c r="K35" s="281" t="s">
        <v>142</v>
      </c>
      <c r="L35" s="282" t="s">
        <v>143</v>
      </c>
      <c r="M35" s="282" t="s">
        <v>84</v>
      </c>
      <c r="N35" s="282" t="s">
        <v>84</v>
      </c>
      <c r="O35" s="279"/>
      <c r="P35" s="279"/>
      <c r="Q35" s="43"/>
      <c r="R35" s="44"/>
      <c r="S35" s="45"/>
    </row>
    <row r="36" s="237" customFormat="1" ht="67.5" spans="1:19">
      <c r="A36" s="259"/>
      <c r="B36" s="259"/>
      <c r="C36" s="259"/>
      <c r="D36" s="263"/>
      <c r="E36" s="263"/>
      <c r="F36" s="263"/>
      <c r="G36" s="263"/>
      <c r="H36" s="263"/>
      <c r="I36" s="263"/>
      <c r="J36" s="273"/>
      <c r="K36" s="281" t="s">
        <v>144</v>
      </c>
      <c r="L36" s="282" t="s">
        <v>145</v>
      </c>
      <c r="M36" s="282" t="s">
        <v>28</v>
      </c>
      <c r="N36" s="282" t="s">
        <v>29</v>
      </c>
      <c r="O36" s="279"/>
      <c r="P36" s="279"/>
      <c r="Q36" s="43"/>
      <c r="R36" s="44"/>
      <c r="S36" s="45"/>
    </row>
    <row r="37" s="237" customFormat="1" ht="162" spans="1:19">
      <c r="A37" s="259"/>
      <c r="B37" s="259"/>
      <c r="C37" s="259"/>
      <c r="D37" s="263"/>
      <c r="E37" s="263"/>
      <c r="F37" s="263"/>
      <c r="G37" s="263"/>
      <c r="H37" s="263"/>
      <c r="I37" s="263"/>
      <c r="J37" s="274"/>
      <c r="K37" s="281" t="s">
        <v>146</v>
      </c>
      <c r="L37" s="282" t="s">
        <v>147</v>
      </c>
      <c r="M37" s="282" t="s">
        <v>148</v>
      </c>
      <c r="N37" s="282" t="s">
        <v>148</v>
      </c>
      <c r="O37" s="279"/>
      <c r="P37" s="279"/>
      <c r="Q37" s="43"/>
      <c r="R37" s="44"/>
      <c r="S37" s="45"/>
    </row>
    <row r="38" s="237" customFormat="1" spans="1:19">
      <c r="A38" s="265" t="s">
        <v>149</v>
      </c>
      <c r="B38" s="266" t="s">
        <v>21</v>
      </c>
      <c r="C38" s="266" t="s">
        <v>150</v>
      </c>
      <c r="D38" s="266" t="s">
        <v>151</v>
      </c>
      <c r="E38" s="266" t="s">
        <v>152</v>
      </c>
      <c r="F38" s="266">
        <v>4</v>
      </c>
      <c r="G38" s="266">
        <v>2024.12</v>
      </c>
      <c r="H38" s="266">
        <v>30</v>
      </c>
      <c r="I38" s="266">
        <v>4</v>
      </c>
      <c r="J38" s="269" t="s">
        <v>153</v>
      </c>
      <c r="K38" s="282" t="s">
        <v>154</v>
      </c>
      <c r="L38" s="282" t="s">
        <v>155</v>
      </c>
      <c r="M38" s="283" t="s">
        <v>70</v>
      </c>
      <c r="N38" s="283" t="s">
        <v>156</v>
      </c>
      <c r="O38" s="103" t="s">
        <v>72</v>
      </c>
      <c r="P38" s="103" t="s">
        <v>157</v>
      </c>
      <c r="Q38" s="43"/>
      <c r="R38" s="103"/>
      <c r="S38" s="45"/>
    </row>
    <row r="39" s="237" customFormat="1" spans="1:19">
      <c r="A39" s="265"/>
      <c r="B39" s="267"/>
      <c r="C39" s="267"/>
      <c r="D39" s="267"/>
      <c r="E39" s="267"/>
      <c r="F39" s="267"/>
      <c r="G39" s="267"/>
      <c r="H39" s="267"/>
      <c r="I39" s="267"/>
      <c r="J39" s="269"/>
      <c r="K39" s="282" t="s">
        <v>158</v>
      </c>
      <c r="L39" s="282" t="s">
        <v>159</v>
      </c>
      <c r="M39" s="283" t="s">
        <v>36</v>
      </c>
      <c r="N39" s="283" t="s">
        <v>160</v>
      </c>
      <c r="O39" s="279"/>
      <c r="P39" s="279"/>
      <c r="Q39" s="43"/>
      <c r="R39" s="279"/>
      <c r="S39" s="45"/>
    </row>
    <row r="40" s="237" customFormat="1" spans="1:19">
      <c r="A40" s="265"/>
      <c r="B40" s="267"/>
      <c r="C40" s="267"/>
      <c r="D40" s="267"/>
      <c r="E40" s="267"/>
      <c r="F40" s="267"/>
      <c r="G40" s="267"/>
      <c r="H40" s="267"/>
      <c r="I40" s="267"/>
      <c r="J40" s="269"/>
      <c r="K40" s="282" t="s">
        <v>161</v>
      </c>
      <c r="L40" s="282" t="s">
        <v>162</v>
      </c>
      <c r="M40" s="283" t="s">
        <v>36</v>
      </c>
      <c r="N40" s="283" t="s">
        <v>160</v>
      </c>
      <c r="O40" s="279"/>
      <c r="P40" s="279"/>
      <c r="Q40" s="43"/>
      <c r="R40" s="279"/>
      <c r="S40" s="45"/>
    </row>
    <row r="41" s="237" customFormat="1" ht="99" spans="1:19">
      <c r="A41" s="265"/>
      <c r="B41" s="27" t="s">
        <v>21</v>
      </c>
      <c r="C41" s="27" t="s">
        <v>163</v>
      </c>
      <c r="D41" s="268" t="s">
        <v>164</v>
      </c>
      <c r="E41" s="27" t="s">
        <v>165</v>
      </c>
      <c r="F41" s="27">
        <v>14</v>
      </c>
      <c r="G41" s="27">
        <v>2024.1</v>
      </c>
      <c r="H41" s="27">
        <v>2</v>
      </c>
      <c r="I41" s="27">
        <v>14</v>
      </c>
      <c r="J41" s="269"/>
      <c r="K41" s="284" t="s">
        <v>166</v>
      </c>
      <c r="L41" s="283" t="s">
        <v>167</v>
      </c>
      <c r="M41" s="283" t="s">
        <v>70</v>
      </c>
      <c r="N41" s="283" t="s">
        <v>168</v>
      </c>
      <c r="O41" s="100" t="s">
        <v>169</v>
      </c>
      <c r="P41" s="100" t="s">
        <v>169</v>
      </c>
      <c r="Q41" s="43"/>
      <c r="R41" s="43"/>
      <c r="S41" s="45"/>
    </row>
    <row r="42" s="238" customFormat="1" ht="27" spans="1:19">
      <c r="A42" s="269" t="s">
        <v>170</v>
      </c>
      <c r="B42" s="197" t="s">
        <v>63</v>
      </c>
      <c r="C42" s="197" t="s">
        <v>171</v>
      </c>
      <c r="D42" s="197" t="s">
        <v>172</v>
      </c>
      <c r="E42" s="197" t="s">
        <v>173</v>
      </c>
      <c r="F42" s="197">
        <v>2</v>
      </c>
      <c r="G42" s="197">
        <v>2025.3</v>
      </c>
      <c r="H42" s="197">
        <v>18</v>
      </c>
      <c r="I42" s="197">
        <v>2</v>
      </c>
      <c r="J42" s="269" t="s">
        <v>153</v>
      </c>
      <c r="K42" s="285" t="s">
        <v>174</v>
      </c>
      <c r="L42" s="285" t="s">
        <v>175</v>
      </c>
      <c r="M42" s="45" t="s">
        <v>28</v>
      </c>
      <c r="N42" s="45" t="s">
        <v>176</v>
      </c>
      <c r="O42" s="286" t="s">
        <v>72</v>
      </c>
      <c r="P42" s="286" t="s">
        <v>73</v>
      </c>
      <c r="Q42" s="43"/>
      <c r="R42" s="43"/>
      <c r="S42" s="45"/>
    </row>
    <row r="43" s="238" customFormat="1" ht="27" spans="1:19">
      <c r="A43" s="269"/>
      <c r="B43" s="270"/>
      <c r="C43" s="270"/>
      <c r="D43" s="270"/>
      <c r="E43" s="270"/>
      <c r="F43" s="270"/>
      <c r="G43" s="270"/>
      <c r="H43" s="270"/>
      <c r="I43" s="270"/>
      <c r="J43" s="269"/>
      <c r="K43" s="285" t="s">
        <v>177</v>
      </c>
      <c r="L43" s="287" t="s">
        <v>178</v>
      </c>
      <c r="M43" s="287" t="s">
        <v>36</v>
      </c>
      <c r="N43" s="45" t="s">
        <v>160</v>
      </c>
      <c r="O43" s="123"/>
      <c r="P43" s="123"/>
      <c r="Q43" s="43"/>
      <c r="R43" s="43"/>
      <c r="S43" s="45"/>
    </row>
    <row r="44" s="238" customFormat="1" ht="40.5" spans="1:19">
      <c r="A44" s="269"/>
      <c r="B44" s="270"/>
      <c r="C44" s="270"/>
      <c r="D44" s="270"/>
      <c r="E44" s="270"/>
      <c r="F44" s="270"/>
      <c r="G44" s="270"/>
      <c r="H44" s="270"/>
      <c r="I44" s="270"/>
      <c r="J44" s="269"/>
      <c r="K44" s="285" t="s">
        <v>179</v>
      </c>
      <c r="L44" s="285" t="s">
        <v>180</v>
      </c>
      <c r="M44" s="287" t="s">
        <v>36</v>
      </c>
      <c r="N44" s="45" t="s">
        <v>160</v>
      </c>
      <c r="O44" s="123"/>
      <c r="P44" s="123"/>
      <c r="Q44" s="43"/>
      <c r="R44" s="43"/>
      <c r="S44" s="45"/>
    </row>
    <row r="45" s="238" customFormat="1" ht="40.5" spans="1:19">
      <c r="A45" s="269"/>
      <c r="B45" s="270"/>
      <c r="C45" s="270"/>
      <c r="D45" s="270"/>
      <c r="E45" s="270"/>
      <c r="F45" s="270"/>
      <c r="G45" s="270"/>
      <c r="H45" s="270"/>
      <c r="I45" s="270"/>
      <c r="J45" s="269"/>
      <c r="K45" s="285" t="s">
        <v>181</v>
      </c>
      <c r="L45" s="285" t="s">
        <v>182</v>
      </c>
      <c r="M45" s="287" t="s">
        <v>36</v>
      </c>
      <c r="N45" s="45" t="s">
        <v>160</v>
      </c>
      <c r="O45" s="123"/>
      <c r="P45" s="123"/>
      <c r="Q45" s="43"/>
      <c r="R45" s="43"/>
      <c r="S45" s="45"/>
    </row>
    <row r="46" s="238" customFormat="1" ht="40.5" spans="1:19">
      <c r="A46" s="269"/>
      <c r="B46" s="270"/>
      <c r="C46" s="270"/>
      <c r="D46" s="270"/>
      <c r="E46" s="270"/>
      <c r="F46" s="270"/>
      <c r="G46" s="270"/>
      <c r="H46" s="270"/>
      <c r="I46" s="270"/>
      <c r="J46" s="269"/>
      <c r="K46" s="285" t="s">
        <v>183</v>
      </c>
      <c r="L46" s="285" t="s">
        <v>184</v>
      </c>
      <c r="M46" s="45" t="s">
        <v>44</v>
      </c>
      <c r="N46" s="45" t="s">
        <v>45</v>
      </c>
      <c r="O46" s="123"/>
      <c r="P46" s="123"/>
      <c r="Q46" s="43"/>
      <c r="R46" s="43"/>
      <c r="S46" s="45"/>
    </row>
    <row r="47" s="238" customFormat="1" ht="40.5" spans="1:19">
      <c r="A47" s="269"/>
      <c r="B47" s="270"/>
      <c r="C47" s="270"/>
      <c r="D47" s="270"/>
      <c r="E47" s="270"/>
      <c r="F47" s="270"/>
      <c r="G47" s="270"/>
      <c r="H47" s="270"/>
      <c r="I47" s="270"/>
      <c r="J47" s="269"/>
      <c r="K47" s="285" t="s">
        <v>185</v>
      </c>
      <c r="L47" s="285" t="s">
        <v>186</v>
      </c>
      <c r="M47" s="45" t="s">
        <v>52</v>
      </c>
      <c r="N47" s="45" t="s">
        <v>187</v>
      </c>
      <c r="O47" s="123"/>
      <c r="P47" s="123"/>
      <c r="Q47" s="43"/>
      <c r="R47" s="43"/>
      <c r="S47" s="45"/>
    </row>
    <row r="48" s="238" customFormat="1" spans="1:19">
      <c r="A48" s="269"/>
      <c r="B48" s="270"/>
      <c r="C48" s="270"/>
      <c r="D48" s="270"/>
      <c r="E48" s="270"/>
      <c r="F48" s="270"/>
      <c r="G48" s="270"/>
      <c r="H48" s="270"/>
      <c r="I48" s="270"/>
      <c r="J48" s="269"/>
      <c r="K48" s="285" t="s">
        <v>188</v>
      </c>
      <c r="L48" s="285" t="s">
        <v>189</v>
      </c>
      <c r="M48" s="45" t="s">
        <v>44</v>
      </c>
      <c r="N48" s="45" t="s">
        <v>45</v>
      </c>
      <c r="O48" s="123"/>
      <c r="P48" s="123"/>
      <c r="Q48" s="43"/>
      <c r="R48" s="43"/>
      <c r="S48" s="45"/>
    </row>
    <row r="49" s="238" customFormat="1" ht="27" spans="1:19">
      <c r="A49" s="269"/>
      <c r="B49" s="270"/>
      <c r="C49" s="270"/>
      <c r="D49" s="270"/>
      <c r="E49" s="270"/>
      <c r="F49" s="270"/>
      <c r="G49" s="270"/>
      <c r="H49" s="270"/>
      <c r="I49" s="270"/>
      <c r="J49" s="269"/>
      <c r="K49" s="285" t="s">
        <v>190</v>
      </c>
      <c r="L49" s="285" t="s">
        <v>191</v>
      </c>
      <c r="M49" s="287" t="s">
        <v>36</v>
      </c>
      <c r="N49" s="45" t="s">
        <v>160</v>
      </c>
      <c r="O49" s="123"/>
      <c r="P49" s="123"/>
      <c r="Q49" s="43"/>
      <c r="R49" s="43"/>
      <c r="S49" s="45"/>
    </row>
    <row r="50" s="238" customFormat="1" ht="40.5" spans="1:19">
      <c r="A50" s="269"/>
      <c r="B50" s="271"/>
      <c r="C50" s="271"/>
      <c r="D50" s="271"/>
      <c r="E50" s="271"/>
      <c r="F50" s="271"/>
      <c r="G50" s="271"/>
      <c r="H50" s="271"/>
      <c r="I50" s="271"/>
      <c r="J50" s="269"/>
      <c r="K50" s="285" t="s">
        <v>192</v>
      </c>
      <c r="L50" s="285" t="s">
        <v>193</v>
      </c>
      <c r="M50" s="45" t="s">
        <v>44</v>
      </c>
      <c r="N50" s="45" t="s">
        <v>45</v>
      </c>
      <c r="O50" s="123"/>
      <c r="P50" s="123"/>
      <c r="Q50" s="43"/>
      <c r="R50" s="43"/>
      <c r="S50" s="45"/>
    </row>
    <row r="51" s="238" customFormat="1" ht="40.5" spans="1:19">
      <c r="A51" s="269"/>
      <c r="B51" s="197" t="s">
        <v>63</v>
      </c>
      <c r="C51" s="197" t="s">
        <v>171</v>
      </c>
      <c r="D51" s="197" t="s">
        <v>194</v>
      </c>
      <c r="E51" s="197" t="s">
        <v>195</v>
      </c>
      <c r="F51" s="197">
        <v>3</v>
      </c>
      <c r="G51" s="197">
        <v>2025.4</v>
      </c>
      <c r="H51" s="197">
        <v>9</v>
      </c>
      <c r="I51" s="197">
        <v>3</v>
      </c>
      <c r="J51" s="269"/>
      <c r="K51" s="285" t="s">
        <v>196</v>
      </c>
      <c r="L51" s="285" t="s">
        <v>197</v>
      </c>
      <c r="M51" s="287" t="s">
        <v>36</v>
      </c>
      <c r="N51" s="45" t="s">
        <v>160</v>
      </c>
      <c r="O51" s="123"/>
      <c r="P51" s="123"/>
      <c r="Q51" s="43"/>
      <c r="R51" s="43"/>
      <c r="S51" s="45"/>
    </row>
    <row r="52" s="238" customFormat="1" ht="27" spans="1:19">
      <c r="A52" s="269"/>
      <c r="B52" s="270"/>
      <c r="C52" s="270"/>
      <c r="D52" s="270"/>
      <c r="E52" s="270"/>
      <c r="F52" s="270"/>
      <c r="G52" s="270"/>
      <c r="H52" s="270"/>
      <c r="I52" s="270"/>
      <c r="J52" s="269"/>
      <c r="K52" s="285" t="s">
        <v>198</v>
      </c>
      <c r="L52" s="285" t="s">
        <v>199</v>
      </c>
      <c r="M52" s="287" t="s">
        <v>36</v>
      </c>
      <c r="N52" s="45" t="s">
        <v>160</v>
      </c>
      <c r="O52" s="123"/>
      <c r="P52" s="123"/>
      <c r="Q52" s="43"/>
      <c r="R52" s="43"/>
      <c r="S52" s="45"/>
    </row>
    <row r="53" s="238" customFormat="1" ht="27" spans="1:19">
      <c r="A53" s="269"/>
      <c r="B53" s="270"/>
      <c r="C53" s="270"/>
      <c r="D53" s="270"/>
      <c r="E53" s="270"/>
      <c r="F53" s="270"/>
      <c r="G53" s="270"/>
      <c r="H53" s="270"/>
      <c r="I53" s="270"/>
      <c r="J53" s="269"/>
      <c r="K53" s="285" t="s">
        <v>200</v>
      </c>
      <c r="L53" s="285" t="s">
        <v>201</v>
      </c>
      <c r="M53" s="287" t="s">
        <v>36</v>
      </c>
      <c r="N53" s="45" t="s">
        <v>160</v>
      </c>
      <c r="O53" s="123"/>
      <c r="P53" s="123"/>
      <c r="Q53" s="43"/>
      <c r="R53" s="43"/>
      <c r="S53" s="45"/>
    </row>
    <row r="54" s="238" customFormat="1" spans="1:19">
      <c r="A54" s="269"/>
      <c r="B54" s="270"/>
      <c r="C54" s="270"/>
      <c r="D54" s="270"/>
      <c r="E54" s="270"/>
      <c r="F54" s="270"/>
      <c r="G54" s="270"/>
      <c r="H54" s="270"/>
      <c r="I54" s="270"/>
      <c r="J54" s="269"/>
      <c r="K54" s="285" t="s">
        <v>202</v>
      </c>
      <c r="L54" s="285" t="s">
        <v>203</v>
      </c>
      <c r="M54" s="45" t="s">
        <v>44</v>
      </c>
      <c r="N54" s="45" t="s">
        <v>45</v>
      </c>
      <c r="O54" s="123"/>
      <c r="P54" s="123"/>
      <c r="Q54" s="43"/>
      <c r="R54" s="43"/>
      <c r="S54" s="45"/>
    </row>
    <row r="55" s="238" customFormat="1" ht="27" spans="1:19">
      <c r="A55" s="269"/>
      <c r="B55" s="271"/>
      <c r="C55" s="271"/>
      <c r="D55" s="271"/>
      <c r="E55" s="271"/>
      <c r="F55" s="271"/>
      <c r="G55" s="271"/>
      <c r="H55" s="271"/>
      <c r="I55" s="271"/>
      <c r="J55" s="269"/>
      <c r="K55" s="285" t="s">
        <v>204</v>
      </c>
      <c r="L55" s="285" t="s">
        <v>205</v>
      </c>
      <c r="M55" s="45" t="s">
        <v>44</v>
      </c>
      <c r="N55" s="45" t="s">
        <v>45</v>
      </c>
      <c r="O55" s="123"/>
      <c r="P55" s="123"/>
      <c r="Q55" s="43"/>
      <c r="R55" s="43"/>
      <c r="S55" s="45"/>
    </row>
    <row r="56" s="238" customFormat="1" spans="1:19">
      <c r="A56" s="269"/>
      <c r="B56" s="272" t="s">
        <v>63</v>
      </c>
      <c r="C56" s="272" t="s">
        <v>171</v>
      </c>
      <c r="D56" s="272" t="s">
        <v>206</v>
      </c>
      <c r="E56" s="272" t="s">
        <v>207</v>
      </c>
      <c r="F56" s="272">
        <v>2</v>
      </c>
      <c r="G56" s="272">
        <v>2025.4</v>
      </c>
      <c r="H56" s="272">
        <v>18</v>
      </c>
      <c r="I56" s="272">
        <v>2</v>
      </c>
      <c r="J56" s="269"/>
      <c r="K56" s="285" t="s">
        <v>208</v>
      </c>
      <c r="L56" s="288"/>
      <c r="M56" s="287" t="s">
        <v>36</v>
      </c>
      <c r="N56" s="45" t="s">
        <v>160</v>
      </c>
      <c r="O56" s="123"/>
      <c r="P56" s="123"/>
      <c r="Q56" s="43"/>
      <c r="R56" s="43"/>
      <c r="S56" s="45"/>
    </row>
    <row r="57" s="238" customFormat="1" ht="27" spans="1:19">
      <c r="A57" s="269"/>
      <c r="B57" s="273"/>
      <c r="C57" s="273"/>
      <c r="D57" s="273"/>
      <c r="E57" s="273"/>
      <c r="F57" s="273"/>
      <c r="G57" s="273"/>
      <c r="H57" s="273"/>
      <c r="I57" s="273"/>
      <c r="J57" s="269"/>
      <c r="K57" s="285" t="s">
        <v>209</v>
      </c>
      <c r="L57" s="285" t="s">
        <v>210</v>
      </c>
      <c r="M57" s="45" t="s">
        <v>52</v>
      </c>
      <c r="N57" s="45" t="s">
        <v>187</v>
      </c>
      <c r="O57" s="123"/>
      <c r="P57" s="123"/>
      <c r="Q57" s="43"/>
      <c r="R57" s="43"/>
      <c r="S57" s="45"/>
    </row>
    <row r="58" s="238" customFormat="1" ht="27" spans="1:19">
      <c r="A58" s="269"/>
      <c r="B58" s="273"/>
      <c r="C58" s="273"/>
      <c r="D58" s="273"/>
      <c r="E58" s="273"/>
      <c r="F58" s="273"/>
      <c r="G58" s="273"/>
      <c r="H58" s="273"/>
      <c r="I58" s="273"/>
      <c r="J58" s="269"/>
      <c r="K58" s="285" t="s">
        <v>211</v>
      </c>
      <c r="L58" s="285" t="s">
        <v>212</v>
      </c>
      <c r="M58" s="45" t="s">
        <v>52</v>
      </c>
      <c r="N58" s="45" t="s">
        <v>187</v>
      </c>
      <c r="O58" s="123"/>
      <c r="P58" s="123"/>
      <c r="Q58" s="43"/>
      <c r="R58" s="43"/>
      <c r="S58" s="45"/>
    </row>
    <row r="59" s="238" customFormat="1" ht="27" spans="1:19">
      <c r="A59" s="269"/>
      <c r="B59" s="273"/>
      <c r="C59" s="273"/>
      <c r="D59" s="273"/>
      <c r="E59" s="273"/>
      <c r="F59" s="273"/>
      <c r="G59" s="273"/>
      <c r="H59" s="273"/>
      <c r="I59" s="273"/>
      <c r="J59" s="269"/>
      <c r="K59" s="285" t="s">
        <v>213</v>
      </c>
      <c r="L59" s="285" t="s">
        <v>214</v>
      </c>
      <c r="M59" s="45" t="s">
        <v>52</v>
      </c>
      <c r="N59" s="45" t="s">
        <v>187</v>
      </c>
      <c r="O59" s="123"/>
      <c r="P59" s="123"/>
      <c r="Q59" s="43"/>
      <c r="R59" s="43"/>
      <c r="S59" s="45"/>
    </row>
    <row r="60" s="238" customFormat="1" ht="27" spans="1:19">
      <c r="A60" s="269"/>
      <c r="B60" s="274"/>
      <c r="C60" s="274"/>
      <c r="D60" s="274"/>
      <c r="E60" s="274"/>
      <c r="F60" s="274"/>
      <c r="G60" s="274"/>
      <c r="H60" s="274"/>
      <c r="I60" s="274"/>
      <c r="J60" s="269"/>
      <c r="K60" s="285" t="s">
        <v>215</v>
      </c>
      <c r="L60" s="285" t="s">
        <v>216</v>
      </c>
      <c r="M60" s="287" t="s">
        <v>36</v>
      </c>
      <c r="N60" s="45" t="s">
        <v>160</v>
      </c>
      <c r="O60" s="123"/>
      <c r="P60" s="123"/>
      <c r="Q60" s="43"/>
      <c r="R60" s="43"/>
      <c r="S60" s="45"/>
    </row>
    <row r="61" s="238" customFormat="1" ht="28.5" spans="1:19">
      <c r="A61" s="275" t="s">
        <v>217</v>
      </c>
      <c r="B61" s="276" t="s">
        <v>21</v>
      </c>
      <c r="C61" s="276" t="s">
        <v>218</v>
      </c>
      <c r="D61" s="276" t="s">
        <v>219</v>
      </c>
      <c r="E61" s="276" t="s">
        <v>220</v>
      </c>
      <c r="F61" s="276">
        <v>8</v>
      </c>
      <c r="G61" s="276" t="s">
        <v>221</v>
      </c>
      <c r="H61" s="276">
        <v>31</v>
      </c>
      <c r="I61" s="276">
        <v>8</v>
      </c>
      <c r="J61" s="276" t="s">
        <v>25</v>
      </c>
      <c r="K61" s="289" t="s">
        <v>222</v>
      </c>
      <c r="L61" s="290"/>
      <c r="M61" s="291"/>
      <c r="N61" s="291"/>
      <c r="O61" s="123"/>
      <c r="P61" s="124"/>
      <c r="Q61" s="43"/>
      <c r="R61" s="43"/>
      <c r="S61" s="45"/>
    </row>
    <row r="62" s="237" customFormat="1" ht="27" spans="1:19">
      <c r="A62" s="99" t="s">
        <v>223</v>
      </c>
      <c r="B62" s="45" t="s">
        <v>21</v>
      </c>
      <c r="C62" s="45" t="s">
        <v>224</v>
      </c>
      <c r="D62" s="45" t="s">
        <v>225</v>
      </c>
      <c r="E62" s="45" t="s">
        <v>226</v>
      </c>
      <c r="F62" s="45">
        <v>3</v>
      </c>
      <c r="G62" s="45" t="s">
        <v>227</v>
      </c>
      <c r="H62" s="45">
        <v>13</v>
      </c>
      <c r="I62" s="45">
        <v>3</v>
      </c>
      <c r="J62" s="170" t="s">
        <v>153</v>
      </c>
      <c r="K62" s="285" t="s">
        <v>228</v>
      </c>
      <c r="L62" s="285" t="s">
        <v>229</v>
      </c>
      <c r="M62" s="285" t="s">
        <v>230</v>
      </c>
      <c r="N62" s="285" t="s">
        <v>231</v>
      </c>
      <c r="O62" s="44" t="s">
        <v>72</v>
      </c>
      <c r="P62" s="44" t="s">
        <v>73</v>
      </c>
      <c r="Q62" s="43"/>
      <c r="R62" s="43"/>
      <c r="S62" s="45"/>
    </row>
    <row r="63" s="237" customFormat="1" ht="27" spans="1:19">
      <c r="A63" s="199"/>
      <c r="B63" s="45"/>
      <c r="C63" s="45"/>
      <c r="D63" s="45"/>
      <c r="E63" s="45"/>
      <c r="F63" s="45"/>
      <c r="G63" s="45"/>
      <c r="H63" s="45"/>
      <c r="I63" s="45"/>
      <c r="J63" s="206"/>
      <c r="K63" s="285" t="s">
        <v>232</v>
      </c>
      <c r="L63" s="285" t="s">
        <v>233</v>
      </c>
      <c r="M63" s="285" t="s">
        <v>28</v>
      </c>
      <c r="N63" s="285" t="s">
        <v>29</v>
      </c>
      <c r="O63" s="129"/>
      <c r="P63" s="129"/>
      <c r="Q63" s="43"/>
      <c r="R63" s="43"/>
      <c r="S63" s="45"/>
    </row>
    <row r="64" s="237" customFormat="1" ht="27" spans="1:19">
      <c r="A64" s="199"/>
      <c r="B64" s="85" t="s">
        <v>63</v>
      </c>
      <c r="C64" s="85" t="s">
        <v>234</v>
      </c>
      <c r="D64" s="85" t="s">
        <v>235</v>
      </c>
      <c r="E64" s="85" t="s">
        <v>236</v>
      </c>
      <c r="F64" s="85">
        <v>1</v>
      </c>
      <c r="G64" s="85">
        <v>2023.12</v>
      </c>
      <c r="H64" s="85">
        <v>5</v>
      </c>
      <c r="I64" s="85">
        <v>1</v>
      </c>
      <c r="J64" s="206"/>
      <c r="K64" s="285" t="s">
        <v>237</v>
      </c>
      <c r="L64" s="285" t="s">
        <v>238</v>
      </c>
      <c r="M64" s="285" t="s">
        <v>70</v>
      </c>
      <c r="N64" s="285" t="s">
        <v>71</v>
      </c>
      <c r="O64" s="129"/>
      <c r="P64" s="129"/>
      <c r="Q64" s="43"/>
      <c r="R64" s="43"/>
      <c r="S64" s="45"/>
    </row>
    <row r="65" s="237" customFormat="1" ht="54" spans="1:19">
      <c r="A65" s="199"/>
      <c r="B65" s="99" t="s">
        <v>63</v>
      </c>
      <c r="C65" s="99" t="s">
        <v>234</v>
      </c>
      <c r="D65" s="99" t="s">
        <v>239</v>
      </c>
      <c r="E65" s="99" t="s">
        <v>240</v>
      </c>
      <c r="F65" s="99">
        <v>3</v>
      </c>
      <c r="G65" s="99">
        <v>2024.12</v>
      </c>
      <c r="H65" s="99">
        <v>11</v>
      </c>
      <c r="I65" s="99">
        <v>3</v>
      </c>
      <c r="J65" s="206"/>
      <c r="K65" s="285" t="s">
        <v>241</v>
      </c>
      <c r="L65" s="285" t="s">
        <v>242</v>
      </c>
      <c r="M65" s="285" t="s">
        <v>70</v>
      </c>
      <c r="N65" s="285" t="s">
        <v>71</v>
      </c>
      <c r="O65" s="129"/>
      <c r="P65" s="129"/>
      <c r="Q65" s="43"/>
      <c r="R65" s="43"/>
      <c r="S65" s="45"/>
    </row>
    <row r="66" s="237" customFormat="1" ht="81" spans="1:19">
      <c r="A66" s="199"/>
      <c r="B66" s="199"/>
      <c r="C66" s="199" t="s">
        <v>234</v>
      </c>
      <c r="D66" s="199" t="s">
        <v>239</v>
      </c>
      <c r="E66" s="199" t="s">
        <v>240</v>
      </c>
      <c r="F66" s="199">
        <v>3</v>
      </c>
      <c r="G66" s="199">
        <v>2024.12</v>
      </c>
      <c r="H66" s="199">
        <v>11</v>
      </c>
      <c r="I66" s="199"/>
      <c r="J66" s="206"/>
      <c r="K66" s="285" t="s">
        <v>243</v>
      </c>
      <c r="L66" s="285" t="s">
        <v>244</v>
      </c>
      <c r="M66" s="285" t="s">
        <v>245</v>
      </c>
      <c r="N66" s="285" t="s">
        <v>246</v>
      </c>
      <c r="O66" s="129"/>
      <c r="P66" s="129"/>
      <c r="Q66" s="43"/>
      <c r="R66" s="43"/>
      <c r="S66" s="45"/>
    </row>
    <row r="67" s="237" customFormat="1" ht="27" spans="1:19">
      <c r="A67" s="199"/>
      <c r="B67" s="199"/>
      <c r="C67" s="199"/>
      <c r="D67" s="199"/>
      <c r="E67" s="199"/>
      <c r="F67" s="199"/>
      <c r="G67" s="199"/>
      <c r="H67" s="199"/>
      <c r="I67" s="199"/>
      <c r="J67" s="206"/>
      <c r="K67" s="285" t="s">
        <v>247</v>
      </c>
      <c r="L67" s="285" t="s">
        <v>248</v>
      </c>
      <c r="M67" s="285" t="s">
        <v>245</v>
      </c>
      <c r="N67" s="285" t="s">
        <v>246</v>
      </c>
      <c r="O67" s="129"/>
      <c r="P67" s="129"/>
      <c r="Q67" s="43"/>
      <c r="R67" s="43"/>
      <c r="S67" s="45"/>
    </row>
    <row r="68" s="237" customFormat="1" ht="27" spans="1:19">
      <c r="A68" s="199"/>
      <c r="B68" s="106"/>
      <c r="C68" s="106"/>
      <c r="D68" s="106"/>
      <c r="E68" s="106"/>
      <c r="F68" s="106"/>
      <c r="G68" s="106"/>
      <c r="H68" s="106"/>
      <c r="I68" s="106"/>
      <c r="J68" s="206"/>
      <c r="K68" s="285" t="s">
        <v>247</v>
      </c>
      <c r="L68" s="285" t="s">
        <v>248</v>
      </c>
      <c r="M68" s="285" t="s">
        <v>245</v>
      </c>
      <c r="N68" s="285" t="s">
        <v>246</v>
      </c>
      <c r="O68" s="129"/>
      <c r="P68" s="129"/>
      <c r="Q68" s="43"/>
      <c r="R68" s="43"/>
      <c r="S68" s="45"/>
    </row>
    <row r="69" s="237" customFormat="1" ht="54" spans="1:19">
      <c r="A69" s="106"/>
      <c r="B69" s="85" t="s">
        <v>63</v>
      </c>
      <c r="C69" s="85" t="s">
        <v>234</v>
      </c>
      <c r="D69" s="85" t="s">
        <v>249</v>
      </c>
      <c r="E69" s="293" t="s">
        <v>250</v>
      </c>
      <c r="F69" s="85">
        <v>1</v>
      </c>
      <c r="G69" s="85">
        <v>2025.2</v>
      </c>
      <c r="H69" s="85">
        <v>28</v>
      </c>
      <c r="I69" s="85">
        <v>1</v>
      </c>
      <c r="J69" s="206"/>
      <c r="K69" s="285" t="s">
        <v>251</v>
      </c>
      <c r="L69" s="285" t="s">
        <v>252</v>
      </c>
      <c r="M69" s="285" t="s">
        <v>245</v>
      </c>
      <c r="N69" s="285" t="s">
        <v>253</v>
      </c>
      <c r="O69" s="129"/>
      <c r="P69" s="129"/>
      <c r="Q69" s="43"/>
      <c r="R69" s="43"/>
      <c r="S69" s="45"/>
    </row>
    <row r="70" s="237" customFormat="1" spans="1:19">
      <c r="A70" s="99" t="s">
        <v>254</v>
      </c>
      <c r="B70" s="199" t="s">
        <v>21</v>
      </c>
      <c r="C70" s="199" t="s">
        <v>255</v>
      </c>
      <c r="D70" s="199" t="s">
        <v>256</v>
      </c>
      <c r="E70" s="199" t="s">
        <v>257</v>
      </c>
      <c r="F70" s="199">
        <v>1</v>
      </c>
      <c r="G70" s="199">
        <v>2024.1</v>
      </c>
      <c r="H70" s="199">
        <v>25</v>
      </c>
      <c r="I70" s="199">
        <v>1</v>
      </c>
      <c r="J70" s="296" t="s">
        <v>25</v>
      </c>
      <c r="K70" s="285" t="s">
        <v>258</v>
      </c>
      <c r="L70" s="285" t="s">
        <v>259</v>
      </c>
      <c r="M70" s="287" t="s">
        <v>132</v>
      </c>
      <c r="N70" s="304" t="s">
        <v>260</v>
      </c>
      <c r="O70" s="43" t="s">
        <v>72</v>
      </c>
      <c r="P70" s="43" t="s">
        <v>73</v>
      </c>
      <c r="Q70" s="43"/>
      <c r="R70" s="43"/>
      <c r="S70" s="45"/>
    </row>
    <row r="71" s="237" customFormat="1" spans="1:19">
      <c r="A71" s="199"/>
      <c r="B71" s="199"/>
      <c r="C71" s="199"/>
      <c r="D71" s="199"/>
      <c r="E71" s="199"/>
      <c r="F71" s="199"/>
      <c r="G71" s="199"/>
      <c r="H71" s="199"/>
      <c r="I71" s="199"/>
      <c r="J71" s="296"/>
      <c r="K71" s="285" t="s">
        <v>261</v>
      </c>
      <c r="L71" s="285" t="s">
        <v>262</v>
      </c>
      <c r="M71" s="287" t="s">
        <v>132</v>
      </c>
      <c r="N71" s="304" t="s">
        <v>260</v>
      </c>
      <c r="O71" s="43"/>
      <c r="P71" s="43"/>
      <c r="Q71" s="43"/>
      <c r="R71" s="43"/>
      <c r="S71" s="45"/>
    </row>
    <row r="72" s="237" customFormat="1" ht="27" spans="1:19">
      <c r="A72" s="199"/>
      <c r="B72" s="199"/>
      <c r="C72" s="199"/>
      <c r="D72" s="199"/>
      <c r="E72" s="199"/>
      <c r="F72" s="199"/>
      <c r="G72" s="199"/>
      <c r="H72" s="199"/>
      <c r="I72" s="199"/>
      <c r="J72" s="296"/>
      <c r="K72" s="285" t="s">
        <v>263</v>
      </c>
      <c r="L72" s="285" t="s">
        <v>264</v>
      </c>
      <c r="M72" s="287" t="s">
        <v>84</v>
      </c>
      <c r="N72" s="304" t="s">
        <v>84</v>
      </c>
      <c r="O72" s="43"/>
      <c r="P72" s="43"/>
      <c r="Q72" s="43"/>
      <c r="R72" s="43"/>
      <c r="S72" s="45"/>
    </row>
    <row r="73" s="237" customFormat="1" spans="1:19">
      <c r="A73" s="199"/>
      <c r="B73" s="199"/>
      <c r="C73" s="199"/>
      <c r="D73" s="199"/>
      <c r="E73" s="199"/>
      <c r="F73" s="199"/>
      <c r="G73" s="199"/>
      <c r="H73" s="199"/>
      <c r="I73" s="199"/>
      <c r="J73" s="296"/>
      <c r="K73" s="285" t="s">
        <v>265</v>
      </c>
      <c r="L73" s="285" t="s">
        <v>266</v>
      </c>
      <c r="M73" s="287" t="s">
        <v>84</v>
      </c>
      <c r="N73" s="304" t="s">
        <v>84</v>
      </c>
      <c r="O73" s="43"/>
      <c r="P73" s="43"/>
      <c r="Q73" s="43"/>
      <c r="R73" s="43"/>
      <c r="S73" s="45"/>
    </row>
    <row r="74" s="237" customFormat="1" spans="1:19">
      <c r="A74" s="199"/>
      <c r="B74" s="199"/>
      <c r="C74" s="199"/>
      <c r="D74" s="199"/>
      <c r="E74" s="199"/>
      <c r="F74" s="199"/>
      <c r="G74" s="199"/>
      <c r="H74" s="199"/>
      <c r="I74" s="199"/>
      <c r="J74" s="296"/>
      <c r="K74" s="285" t="s">
        <v>267</v>
      </c>
      <c r="L74" s="285" t="s">
        <v>268</v>
      </c>
      <c r="M74" s="287" t="s">
        <v>52</v>
      </c>
      <c r="N74" s="304" t="s">
        <v>269</v>
      </c>
      <c r="O74" s="43"/>
      <c r="P74" s="43"/>
      <c r="Q74" s="43"/>
      <c r="R74" s="43"/>
      <c r="S74" s="45"/>
    </row>
    <row r="75" s="237" customFormat="1" ht="27" spans="1:19">
      <c r="A75" s="199"/>
      <c r="B75" s="85" t="s">
        <v>63</v>
      </c>
      <c r="C75" s="85" t="s">
        <v>270</v>
      </c>
      <c r="D75" s="85" t="s">
        <v>271</v>
      </c>
      <c r="E75" s="294" t="s">
        <v>272</v>
      </c>
      <c r="F75" s="85">
        <v>1</v>
      </c>
      <c r="G75" s="85">
        <v>2023.8</v>
      </c>
      <c r="H75" s="85">
        <v>30</v>
      </c>
      <c r="I75" s="85">
        <v>1</v>
      </c>
      <c r="J75" s="35" t="s">
        <v>153</v>
      </c>
      <c r="K75" s="282" t="s">
        <v>273</v>
      </c>
      <c r="L75" s="285" t="s">
        <v>274</v>
      </c>
      <c r="M75" s="287" t="s">
        <v>70</v>
      </c>
      <c r="N75" s="305" t="s">
        <v>71</v>
      </c>
      <c r="O75" s="43"/>
      <c r="P75" s="43"/>
      <c r="Q75" s="43"/>
      <c r="R75" s="43"/>
      <c r="S75" s="45"/>
    </row>
    <row r="76" s="237" customFormat="1" ht="16.5" spans="1:19">
      <c r="A76" s="199"/>
      <c r="B76" s="85" t="s">
        <v>63</v>
      </c>
      <c r="C76" s="85" t="s">
        <v>275</v>
      </c>
      <c r="D76" s="85" t="s">
        <v>276</v>
      </c>
      <c r="E76" s="295" t="s">
        <v>277</v>
      </c>
      <c r="F76" s="85">
        <v>1</v>
      </c>
      <c r="G76" s="85">
        <v>2024.1</v>
      </c>
      <c r="H76" s="85">
        <v>4</v>
      </c>
      <c r="I76" s="85">
        <v>1</v>
      </c>
      <c r="J76" s="35" t="s">
        <v>278</v>
      </c>
      <c r="K76" s="285" t="s">
        <v>279</v>
      </c>
      <c r="L76" s="285" t="s">
        <v>280</v>
      </c>
      <c r="M76" s="287" t="s">
        <v>52</v>
      </c>
      <c r="N76" s="304" t="s">
        <v>187</v>
      </c>
      <c r="O76" s="43"/>
      <c r="P76" s="43"/>
      <c r="Q76" s="43"/>
      <c r="R76" s="43"/>
      <c r="S76" s="45"/>
    </row>
    <row r="77" s="237" customFormat="1" spans="1:19">
      <c r="A77" s="199"/>
      <c r="B77" s="296" t="s">
        <v>21</v>
      </c>
      <c r="C77" s="296" t="s">
        <v>281</v>
      </c>
      <c r="D77" s="296" t="s">
        <v>282</v>
      </c>
      <c r="E77" s="296" t="s">
        <v>283</v>
      </c>
      <c r="F77" s="296">
        <v>6</v>
      </c>
      <c r="G77" s="296">
        <v>2025.4</v>
      </c>
      <c r="H77" s="296">
        <v>22</v>
      </c>
      <c r="I77" s="296">
        <v>6</v>
      </c>
      <c r="J77" s="296" t="s">
        <v>25</v>
      </c>
      <c r="K77" s="306" t="s">
        <v>284</v>
      </c>
      <c r="L77" s="306" t="s">
        <v>285</v>
      </c>
      <c r="M77" s="306" t="s">
        <v>28</v>
      </c>
      <c r="N77" s="307" t="s">
        <v>176</v>
      </c>
      <c r="O77" s="43"/>
      <c r="P77" s="43"/>
      <c r="Q77" s="43"/>
      <c r="R77" s="43"/>
      <c r="S77" s="45"/>
    </row>
    <row r="78" s="237" customFormat="1" spans="1:19">
      <c r="A78" s="199"/>
      <c r="B78" s="296"/>
      <c r="C78" s="296"/>
      <c r="D78" s="296"/>
      <c r="E78" s="296"/>
      <c r="F78" s="296"/>
      <c r="G78" s="296"/>
      <c r="H78" s="296"/>
      <c r="I78" s="296"/>
      <c r="J78" s="296"/>
      <c r="K78" s="308" t="s">
        <v>286</v>
      </c>
      <c r="L78" s="308" t="s">
        <v>287</v>
      </c>
      <c r="M78" s="308" t="s">
        <v>52</v>
      </c>
      <c r="N78" s="305" t="s">
        <v>53</v>
      </c>
      <c r="O78" s="43"/>
      <c r="P78" s="43"/>
      <c r="Q78" s="43"/>
      <c r="R78" s="43"/>
      <c r="S78" s="45"/>
    </row>
    <row r="79" s="237" customFormat="1" spans="1:19">
      <c r="A79" s="199"/>
      <c r="B79" s="296"/>
      <c r="C79" s="296"/>
      <c r="D79" s="296"/>
      <c r="E79" s="296"/>
      <c r="F79" s="296"/>
      <c r="G79" s="296"/>
      <c r="H79" s="296"/>
      <c r="I79" s="296"/>
      <c r="J79" s="296"/>
      <c r="K79" s="308" t="s">
        <v>288</v>
      </c>
      <c r="L79" s="308" t="s">
        <v>289</v>
      </c>
      <c r="M79" s="308" t="s">
        <v>70</v>
      </c>
      <c r="N79" s="305" t="s">
        <v>71</v>
      </c>
      <c r="O79" s="43"/>
      <c r="P79" s="43"/>
      <c r="Q79" s="43"/>
      <c r="R79" s="43"/>
      <c r="S79" s="45"/>
    </row>
    <row r="80" s="237" customFormat="1" ht="27" spans="1:19">
      <c r="A80" s="199"/>
      <c r="B80" s="296"/>
      <c r="C80" s="296"/>
      <c r="D80" s="296"/>
      <c r="E80" s="296"/>
      <c r="F80" s="296"/>
      <c r="G80" s="296"/>
      <c r="H80" s="296"/>
      <c r="I80" s="296"/>
      <c r="J80" s="296"/>
      <c r="K80" s="308" t="s">
        <v>290</v>
      </c>
      <c r="L80" s="308" t="s">
        <v>291</v>
      </c>
      <c r="M80" s="308" t="s">
        <v>36</v>
      </c>
      <c r="N80" s="305" t="s">
        <v>160</v>
      </c>
      <c r="O80" s="43"/>
      <c r="P80" s="43"/>
      <c r="Q80" s="43"/>
      <c r="R80" s="43"/>
      <c r="S80" s="45"/>
    </row>
    <row r="81" s="237" customFormat="1" spans="1:19">
      <c r="A81" s="199"/>
      <c r="B81" s="296"/>
      <c r="C81" s="296"/>
      <c r="D81" s="296"/>
      <c r="E81" s="296"/>
      <c r="F81" s="296"/>
      <c r="G81" s="296"/>
      <c r="H81" s="296"/>
      <c r="I81" s="296"/>
      <c r="J81" s="296"/>
      <c r="K81" s="308" t="s">
        <v>292</v>
      </c>
      <c r="L81" s="308" t="s">
        <v>293</v>
      </c>
      <c r="M81" s="308" t="s">
        <v>28</v>
      </c>
      <c r="N81" s="305" t="s">
        <v>29</v>
      </c>
      <c r="O81" s="43"/>
      <c r="P81" s="43"/>
      <c r="Q81" s="43"/>
      <c r="R81" s="43"/>
      <c r="S81" s="45"/>
    </row>
    <row r="82" s="237" customFormat="1" spans="1:19">
      <c r="A82" s="199"/>
      <c r="B82" s="296"/>
      <c r="C82" s="296"/>
      <c r="D82" s="296"/>
      <c r="E82" s="296"/>
      <c r="F82" s="296"/>
      <c r="G82" s="296"/>
      <c r="H82" s="296"/>
      <c r="I82" s="296"/>
      <c r="J82" s="296"/>
      <c r="K82" s="308" t="s">
        <v>294</v>
      </c>
      <c r="L82" s="308" t="s">
        <v>295</v>
      </c>
      <c r="M82" s="308" t="s">
        <v>28</v>
      </c>
      <c r="N82" s="305" t="s">
        <v>29</v>
      </c>
      <c r="O82" s="43"/>
      <c r="P82" s="43"/>
      <c r="Q82" s="43"/>
      <c r="R82" s="43"/>
      <c r="S82" s="45"/>
    </row>
    <row r="83" s="237" customFormat="1" spans="1:19">
      <c r="A83" s="199"/>
      <c r="B83" s="296"/>
      <c r="C83" s="296"/>
      <c r="D83" s="296"/>
      <c r="E83" s="296"/>
      <c r="F83" s="296"/>
      <c r="G83" s="296"/>
      <c r="H83" s="296"/>
      <c r="I83" s="296"/>
      <c r="J83" s="296"/>
      <c r="K83" s="308" t="s">
        <v>296</v>
      </c>
      <c r="L83" s="308" t="s">
        <v>297</v>
      </c>
      <c r="M83" s="308" t="s">
        <v>298</v>
      </c>
      <c r="N83" s="305" t="s">
        <v>299</v>
      </c>
      <c r="O83" s="43"/>
      <c r="P83" s="43"/>
      <c r="Q83" s="43"/>
      <c r="R83" s="43"/>
      <c r="S83" s="45"/>
    </row>
    <row r="84" s="237" customFormat="1" ht="27" spans="1:19">
      <c r="A84" s="199"/>
      <c r="B84" s="296"/>
      <c r="C84" s="296"/>
      <c r="D84" s="296"/>
      <c r="E84" s="296"/>
      <c r="F84" s="296"/>
      <c r="G84" s="296"/>
      <c r="H84" s="296"/>
      <c r="I84" s="296"/>
      <c r="J84" s="296"/>
      <c r="K84" s="308" t="s">
        <v>300</v>
      </c>
      <c r="L84" s="308" t="s">
        <v>301</v>
      </c>
      <c r="M84" s="308" t="s">
        <v>36</v>
      </c>
      <c r="N84" s="305" t="s">
        <v>160</v>
      </c>
      <c r="O84" s="43"/>
      <c r="P84" s="43"/>
      <c r="Q84" s="43"/>
      <c r="R84" s="43"/>
      <c r="S84" s="45"/>
    </row>
    <row r="85" s="237" customFormat="1" ht="27" spans="1:19">
      <c r="A85" s="106"/>
      <c r="B85" s="296"/>
      <c r="C85" s="296"/>
      <c r="D85" s="296"/>
      <c r="E85" s="296"/>
      <c r="F85" s="296"/>
      <c r="G85" s="296"/>
      <c r="H85" s="296"/>
      <c r="I85" s="296"/>
      <c r="J85" s="296"/>
      <c r="K85" s="308" t="s">
        <v>302</v>
      </c>
      <c r="L85" s="308" t="s">
        <v>303</v>
      </c>
      <c r="M85" s="308" t="s">
        <v>36</v>
      </c>
      <c r="N85" s="305" t="s">
        <v>160</v>
      </c>
      <c r="O85" s="43"/>
      <c r="P85" s="43"/>
      <c r="Q85" s="43"/>
      <c r="R85" s="43"/>
      <c r="S85" s="45"/>
    </row>
    <row r="86" s="237" customFormat="1" ht="27" spans="1:19">
      <c r="A86" s="297" t="s">
        <v>304</v>
      </c>
      <c r="B86" s="298" t="s">
        <v>305</v>
      </c>
      <c r="C86" s="299"/>
      <c r="D86" s="299"/>
      <c r="E86" s="299"/>
      <c r="F86" s="299"/>
      <c r="G86" s="299"/>
      <c r="H86" s="299"/>
      <c r="I86" s="299"/>
      <c r="J86" s="299"/>
      <c r="K86" s="146" t="s">
        <v>306</v>
      </c>
      <c r="L86" s="147" t="s">
        <v>307</v>
      </c>
      <c r="M86" s="106" t="s">
        <v>308</v>
      </c>
      <c r="N86" s="106" t="s">
        <v>309</v>
      </c>
      <c r="O86" s="128" t="s">
        <v>310</v>
      </c>
      <c r="P86" s="128"/>
      <c r="Q86" s="128"/>
      <c r="R86" s="128"/>
      <c r="S86" s="106"/>
    </row>
    <row r="87" s="237" customFormat="1" spans="1:19">
      <c r="A87" s="297" t="s">
        <v>311</v>
      </c>
      <c r="B87" s="298" t="s">
        <v>312</v>
      </c>
      <c r="C87" s="298"/>
      <c r="D87" s="298"/>
      <c r="E87" s="298"/>
      <c r="F87" s="298"/>
      <c r="G87" s="298"/>
      <c r="H87" s="298"/>
      <c r="I87" s="298"/>
      <c r="J87" s="298"/>
      <c r="K87" s="146"/>
      <c r="L87" s="147"/>
      <c r="M87" s="106"/>
      <c r="N87" s="106"/>
      <c r="O87" s="129"/>
      <c r="P87" s="129"/>
      <c r="Q87" s="128"/>
      <c r="R87" s="128"/>
      <c r="S87" s="106"/>
    </row>
    <row r="88" s="237" customFormat="1" ht="27" spans="1:19">
      <c r="A88" s="199" t="s">
        <v>313</v>
      </c>
      <c r="B88" s="199" t="s">
        <v>21</v>
      </c>
      <c r="C88" s="199" t="s">
        <v>314</v>
      </c>
      <c r="D88" s="199" t="s">
        <v>315</v>
      </c>
      <c r="E88" s="199" t="s">
        <v>316</v>
      </c>
      <c r="F88" s="199">
        <v>2</v>
      </c>
      <c r="G88" s="199">
        <v>2024.7</v>
      </c>
      <c r="H88" s="199">
        <v>30</v>
      </c>
      <c r="I88" s="199">
        <v>2</v>
      </c>
      <c r="J88" s="237" t="s">
        <v>67</v>
      </c>
      <c r="K88" s="309" t="s">
        <v>317</v>
      </c>
      <c r="L88" s="285" t="s">
        <v>318</v>
      </c>
      <c r="M88" s="285" t="s">
        <v>52</v>
      </c>
      <c r="N88" s="285" t="s">
        <v>187</v>
      </c>
      <c r="O88" s="129" t="s">
        <v>72</v>
      </c>
      <c r="P88" s="129" t="s">
        <v>73</v>
      </c>
      <c r="Q88" s="43"/>
      <c r="R88" s="43"/>
      <c r="S88" s="45"/>
    </row>
    <row r="89" s="237" customFormat="1" ht="48" customHeight="1" spans="1:19">
      <c r="A89" s="199"/>
      <c r="B89" s="106"/>
      <c r="C89" s="106"/>
      <c r="D89" s="106"/>
      <c r="E89" s="106"/>
      <c r="F89" s="106"/>
      <c r="G89" s="106"/>
      <c r="H89" s="106"/>
      <c r="I89" s="106"/>
      <c r="J89" s="237"/>
      <c r="K89" s="309" t="s">
        <v>317</v>
      </c>
      <c r="L89" s="285" t="s">
        <v>319</v>
      </c>
      <c r="M89" s="285" t="s">
        <v>36</v>
      </c>
      <c r="N89" s="285" t="s">
        <v>160</v>
      </c>
      <c r="O89" s="129"/>
      <c r="P89" s="129"/>
      <c r="Q89" s="43"/>
      <c r="R89" s="43"/>
      <c r="S89" s="45"/>
    </row>
    <row r="90" s="237" customFormat="1" ht="27" spans="1:19">
      <c r="A90" s="199"/>
      <c r="B90" s="99" t="s">
        <v>21</v>
      </c>
      <c r="C90" s="99" t="s">
        <v>314</v>
      </c>
      <c r="D90" s="99" t="s">
        <v>320</v>
      </c>
      <c r="E90" s="99" t="s">
        <v>321</v>
      </c>
      <c r="F90" s="99">
        <v>2</v>
      </c>
      <c r="G90" s="99">
        <v>2023.7</v>
      </c>
      <c r="H90" s="99">
        <v>14</v>
      </c>
      <c r="I90" s="99">
        <v>2</v>
      </c>
      <c r="K90" s="310" t="s">
        <v>322</v>
      </c>
      <c r="L90" s="285" t="s">
        <v>323</v>
      </c>
      <c r="M90" s="285" t="s">
        <v>44</v>
      </c>
      <c r="N90" s="285" t="s">
        <v>45</v>
      </c>
      <c r="O90" s="129"/>
      <c r="P90" s="129"/>
      <c r="Q90" s="43"/>
      <c r="R90" s="43"/>
      <c r="S90" s="45"/>
    </row>
    <row r="91" s="237" customFormat="1" spans="1:19">
      <c r="A91" s="199"/>
      <c r="B91" s="106"/>
      <c r="C91" s="106"/>
      <c r="D91" s="106"/>
      <c r="E91" s="106"/>
      <c r="F91" s="106"/>
      <c r="G91" s="106"/>
      <c r="H91" s="106"/>
      <c r="I91" s="106"/>
      <c r="J91" s="237"/>
      <c r="K91" s="310" t="s">
        <v>324</v>
      </c>
      <c r="L91" s="285" t="s">
        <v>325</v>
      </c>
      <c r="M91" s="285" t="s">
        <v>70</v>
      </c>
      <c r="N91" s="285" t="s">
        <v>326</v>
      </c>
      <c r="O91" s="129"/>
      <c r="P91" s="129"/>
      <c r="Q91" s="43"/>
      <c r="R91" s="43"/>
      <c r="S91" s="45"/>
    </row>
    <row r="92" s="237" customFormat="1" ht="27" spans="1:19">
      <c r="A92" s="199"/>
      <c r="B92" s="99" t="s">
        <v>21</v>
      </c>
      <c r="C92" s="99" t="s">
        <v>327</v>
      </c>
      <c r="D92" s="99" t="s">
        <v>328</v>
      </c>
      <c r="E92" s="99" t="s">
        <v>329</v>
      </c>
      <c r="F92" s="99">
        <v>10</v>
      </c>
      <c r="G92" s="99">
        <v>2025.4</v>
      </c>
      <c r="H92" s="99">
        <v>30</v>
      </c>
      <c r="I92" s="99">
        <v>10</v>
      </c>
      <c r="J92" s="296" t="s">
        <v>25</v>
      </c>
      <c r="K92" s="285" t="s">
        <v>330</v>
      </c>
      <c r="L92" s="285" t="s">
        <v>331</v>
      </c>
      <c r="M92" s="285" t="s">
        <v>332</v>
      </c>
      <c r="N92" s="285" t="s">
        <v>98</v>
      </c>
      <c r="O92" s="129"/>
      <c r="P92" s="129"/>
      <c r="Q92" s="43"/>
      <c r="R92" s="43"/>
      <c r="S92" s="45"/>
    </row>
    <row r="93" s="237" customFormat="1" ht="27" spans="1:19">
      <c r="A93" s="199"/>
      <c r="B93" s="199"/>
      <c r="C93" s="199"/>
      <c r="D93" s="199"/>
      <c r="E93" s="199"/>
      <c r="F93" s="199"/>
      <c r="G93" s="199"/>
      <c r="H93" s="199"/>
      <c r="I93" s="199"/>
      <c r="J93" s="296"/>
      <c r="K93" s="285" t="s">
        <v>330</v>
      </c>
      <c r="L93" s="285" t="s">
        <v>333</v>
      </c>
      <c r="M93" s="285" t="s">
        <v>332</v>
      </c>
      <c r="N93" s="285" t="s">
        <v>98</v>
      </c>
      <c r="O93" s="129"/>
      <c r="P93" s="129"/>
      <c r="Q93" s="43"/>
      <c r="R93" s="43"/>
      <c r="S93" s="45"/>
    </row>
    <row r="94" s="237" customFormat="1" ht="27" spans="1:19">
      <c r="A94" s="199"/>
      <c r="B94" s="199"/>
      <c r="C94" s="199"/>
      <c r="D94" s="199"/>
      <c r="E94" s="199"/>
      <c r="F94" s="199"/>
      <c r="G94" s="199"/>
      <c r="H94" s="199"/>
      <c r="I94" s="199"/>
      <c r="J94" s="296"/>
      <c r="K94" s="285" t="s">
        <v>330</v>
      </c>
      <c r="L94" s="285" t="s">
        <v>334</v>
      </c>
      <c r="M94" s="285" t="s">
        <v>332</v>
      </c>
      <c r="N94" s="285" t="s">
        <v>98</v>
      </c>
      <c r="O94" s="129"/>
      <c r="P94" s="129"/>
      <c r="Q94" s="43"/>
      <c r="R94" s="43"/>
      <c r="S94" s="45"/>
    </row>
    <row r="95" s="237" customFormat="1" ht="27" spans="1:19">
      <c r="A95" s="199"/>
      <c r="B95" s="199"/>
      <c r="C95" s="199"/>
      <c r="D95" s="199"/>
      <c r="E95" s="199"/>
      <c r="F95" s="199"/>
      <c r="G95" s="199"/>
      <c r="H95" s="199"/>
      <c r="I95" s="199"/>
      <c r="J95" s="296"/>
      <c r="K95" s="311" t="s">
        <v>330</v>
      </c>
      <c r="L95" s="285" t="s">
        <v>334</v>
      </c>
      <c r="M95" s="285" t="s">
        <v>332</v>
      </c>
      <c r="N95" s="285" t="s">
        <v>98</v>
      </c>
      <c r="O95" s="129"/>
      <c r="P95" s="129"/>
      <c r="Q95" s="43"/>
      <c r="R95" s="43"/>
      <c r="S95" s="45"/>
    </row>
    <row r="96" s="237" customFormat="1" ht="18" customHeight="1" spans="1:19">
      <c r="A96" s="45" t="s">
        <v>335</v>
      </c>
      <c r="B96" s="45" t="s">
        <v>63</v>
      </c>
      <c r="C96" s="45" t="s">
        <v>270</v>
      </c>
      <c r="D96" s="45" t="s">
        <v>336</v>
      </c>
      <c r="E96" s="45" t="s">
        <v>337</v>
      </c>
      <c r="F96" s="45">
        <v>1</v>
      </c>
      <c r="G96" s="45">
        <v>2024.3</v>
      </c>
      <c r="H96" s="45">
        <v>22</v>
      </c>
      <c r="I96" s="45">
        <v>1</v>
      </c>
      <c r="J96" s="45" t="s">
        <v>153</v>
      </c>
      <c r="K96" s="283" t="s">
        <v>338</v>
      </c>
      <c r="L96" s="312" t="s">
        <v>339</v>
      </c>
      <c r="M96" s="313" t="s">
        <v>70</v>
      </c>
      <c r="N96" s="314" t="s">
        <v>71</v>
      </c>
      <c r="O96" s="43" t="s">
        <v>340</v>
      </c>
      <c r="P96" s="43" t="s">
        <v>341</v>
      </c>
      <c r="Q96" s="170"/>
      <c r="R96" s="44"/>
      <c r="S96" s="99"/>
    </row>
    <row r="97" s="237" customFormat="1" ht="27" spans="1:19">
      <c r="A97" s="45"/>
      <c r="B97" s="45"/>
      <c r="C97" s="45"/>
      <c r="D97" s="45"/>
      <c r="E97" s="45"/>
      <c r="F97" s="45"/>
      <c r="G97" s="45"/>
      <c r="H97" s="45"/>
      <c r="I97" s="45"/>
      <c r="J97" s="45"/>
      <c r="K97" s="283" t="s">
        <v>342</v>
      </c>
      <c r="L97" s="315" t="s">
        <v>343</v>
      </c>
      <c r="M97" s="283" t="s">
        <v>84</v>
      </c>
      <c r="N97" s="316" t="s">
        <v>84</v>
      </c>
      <c r="O97" s="43"/>
      <c r="P97" s="43"/>
      <c r="Q97" s="2"/>
      <c r="R97" s="2"/>
      <c r="S97" s="4"/>
    </row>
    <row r="98" s="84" customFormat="1" ht="16.5" spans="1:16">
      <c r="A98" s="45"/>
      <c r="B98" s="45" t="s">
        <v>63</v>
      </c>
      <c r="C98" s="45" t="s">
        <v>344</v>
      </c>
      <c r="D98" s="45" t="s">
        <v>206</v>
      </c>
      <c r="E98" s="261" t="s">
        <v>207</v>
      </c>
      <c r="F98" s="45">
        <v>2</v>
      </c>
      <c r="G98" s="45">
        <v>2025.4</v>
      </c>
      <c r="H98" s="45">
        <v>18</v>
      </c>
      <c r="I98" s="45">
        <v>2</v>
      </c>
      <c r="J98" s="45"/>
      <c r="K98" s="45" t="s">
        <v>345</v>
      </c>
      <c r="L98" s="84" t="s">
        <v>346</v>
      </c>
      <c r="M98" s="84" t="s">
        <v>52</v>
      </c>
      <c r="N98" s="84" t="s">
        <v>187</v>
      </c>
      <c r="O98" s="45" t="s">
        <v>347</v>
      </c>
      <c r="P98" s="45" t="s">
        <v>157</v>
      </c>
    </row>
    <row r="99" s="84" customFormat="1" ht="27" spans="1:16">
      <c r="A99" s="45"/>
      <c r="B99" s="45" t="s">
        <v>21</v>
      </c>
      <c r="C99" s="45" t="s">
        <v>348</v>
      </c>
      <c r="D99" s="45" t="s">
        <v>349</v>
      </c>
      <c r="E99" s="45" t="s">
        <v>350</v>
      </c>
      <c r="F99" s="45">
        <v>7</v>
      </c>
      <c r="G99" s="45">
        <v>2024.11</v>
      </c>
      <c r="H99" s="45">
        <v>20</v>
      </c>
      <c r="I99" s="45">
        <v>7</v>
      </c>
      <c r="J99" s="45"/>
      <c r="K99" s="283" t="s">
        <v>351</v>
      </c>
      <c r="L99" s="309" t="s">
        <v>352</v>
      </c>
      <c r="M99" s="282" t="s">
        <v>353</v>
      </c>
      <c r="N99" s="317" t="s">
        <v>354</v>
      </c>
      <c r="O99" s="45" t="s">
        <v>355</v>
      </c>
      <c r="P99" s="45" t="s">
        <v>73</v>
      </c>
    </row>
    <row r="100" s="84" customFormat="1" ht="27" spans="1:16">
      <c r="A100" s="45"/>
      <c r="B100" s="45"/>
      <c r="C100" s="45"/>
      <c r="D100" s="45"/>
      <c r="E100" s="45"/>
      <c r="F100" s="45"/>
      <c r="G100" s="45"/>
      <c r="H100" s="45"/>
      <c r="I100" s="45"/>
      <c r="J100" s="45"/>
      <c r="K100" s="283" t="s">
        <v>356</v>
      </c>
      <c r="L100" s="309" t="s">
        <v>357</v>
      </c>
      <c r="M100" s="282" t="s">
        <v>353</v>
      </c>
      <c r="N100" s="317" t="s">
        <v>354</v>
      </c>
      <c r="O100" s="45"/>
      <c r="P100" s="45"/>
    </row>
    <row r="101" s="84" customFormat="1" ht="27" spans="1:16">
      <c r="A101" s="45"/>
      <c r="B101" s="45"/>
      <c r="C101" s="45"/>
      <c r="D101" s="45"/>
      <c r="E101" s="45"/>
      <c r="F101" s="45"/>
      <c r="G101" s="45"/>
      <c r="H101" s="45"/>
      <c r="I101" s="45"/>
      <c r="J101" s="45"/>
      <c r="K101" s="283" t="s">
        <v>358</v>
      </c>
      <c r="L101" s="309" t="s">
        <v>359</v>
      </c>
      <c r="M101" s="282" t="s">
        <v>353</v>
      </c>
      <c r="N101" s="317" t="s">
        <v>354</v>
      </c>
      <c r="O101" s="45"/>
      <c r="P101" s="45"/>
    </row>
    <row r="102" s="84" customFormat="1" ht="27" spans="1:16">
      <c r="A102" s="45"/>
      <c r="B102" s="45"/>
      <c r="C102" s="45"/>
      <c r="D102" s="45"/>
      <c r="E102" s="45"/>
      <c r="F102" s="45"/>
      <c r="G102" s="45"/>
      <c r="H102" s="45"/>
      <c r="I102" s="45"/>
      <c r="J102" s="45"/>
      <c r="K102" s="283" t="s">
        <v>360</v>
      </c>
      <c r="L102" s="309" t="s">
        <v>361</v>
      </c>
      <c r="M102" s="282" t="s">
        <v>353</v>
      </c>
      <c r="N102" s="317" t="s">
        <v>354</v>
      </c>
      <c r="O102" s="45"/>
      <c r="P102" s="45"/>
    </row>
    <row r="103" s="84" customFormat="1" ht="27" spans="1:16">
      <c r="A103" s="45"/>
      <c r="B103" s="45"/>
      <c r="C103" s="45"/>
      <c r="D103" s="45"/>
      <c r="E103" s="45"/>
      <c r="F103" s="45"/>
      <c r="G103" s="45"/>
      <c r="H103" s="45"/>
      <c r="I103" s="45"/>
      <c r="J103" s="45"/>
      <c r="K103" s="283" t="s">
        <v>362</v>
      </c>
      <c r="L103" s="309" t="s">
        <v>363</v>
      </c>
      <c r="M103" s="282" t="s">
        <v>353</v>
      </c>
      <c r="N103" s="317" t="s">
        <v>354</v>
      </c>
      <c r="O103" s="45"/>
      <c r="P103" s="45"/>
    </row>
    <row r="104" s="84" customFormat="1" ht="40.5" spans="1:16">
      <c r="A104" s="99"/>
      <c r="B104" s="99"/>
      <c r="C104" s="99"/>
      <c r="D104" s="99"/>
      <c r="E104" s="99"/>
      <c r="F104" s="99"/>
      <c r="G104" s="99"/>
      <c r="H104" s="99"/>
      <c r="I104" s="99"/>
      <c r="J104" s="99"/>
      <c r="K104" s="313" t="s">
        <v>364</v>
      </c>
      <c r="L104" s="312" t="s">
        <v>365</v>
      </c>
      <c r="M104" s="318" t="s">
        <v>353</v>
      </c>
      <c r="N104" s="319" t="s">
        <v>354</v>
      </c>
      <c r="O104" s="99"/>
      <c r="P104" s="99"/>
    </row>
    <row r="105" s="84" customFormat="1" ht="40.5" spans="1:16">
      <c r="A105" s="45" t="s">
        <v>366</v>
      </c>
      <c r="B105" s="300" t="s">
        <v>21</v>
      </c>
      <c r="C105" s="300" t="s">
        <v>367</v>
      </c>
      <c r="D105" s="300" t="s">
        <v>368</v>
      </c>
      <c r="E105" s="300" t="s">
        <v>369</v>
      </c>
      <c r="F105" s="300">
        <v>11</v>
      </c>
      <c r="G105" s="300">
        <v>2025.2</v>
      </c>
      <c r="H105" s="300">
        <v>22</v>
      </c>
      <c r="I105" s="300">
        <v>11</v>
      </c>
      <c r="J105" s="300" t="s">
        <v>278</v>
      </c>
      <c r="K105" s="308" t="s">
        <v>370</v>
      </c>
      <c r="L105" s="308" t="s">
        <v>371</v>
      </c>
      <c r="M105" s="308" t="s">
        <v>132</v>
      </c>
      <c r="N105" s="308" t="s">
        <v>372</v>
      </c>
      <c r="O105" s="99" t="s">
        <v>72</v>
      </c>
      <c r="P105" s="99" t="s">
        <v>73</v>
      </c>
    </row>
    <row r="106" s="237" customFormat="1" ht="40.5" spans="1:16">
      <c r="A106" s="45"/>
      <c r="B106" s="300"/>
      <c r="C106" s="300"/>
      <c r="D106" s="300"/>
      <c r="E106" s="300"/>
      <c r="F106" s="300"/>
      <c r="G106" s="300"/>
      <c r="H106" s="300"/>
      <c r="I106" s="300"/>
      <c r="J106" s="300"/>
      <c r="K106" s="308" t="s">
        <v>373</v>
      </c>
      <c r="L106" s="308" t="s">
        <v>374</v>
      </c>
      <c r="M106" s="308" t="s">
        <v>375</v>
      </c>
      <c r="N106" s="308" t="s">
        <v>376</v>
      </c>
      <c r="O106" s="199"/>
      <c r="P106" s="199"/>
    </row>
    <row r="107" s="237" customFormat="1" ht="27" spans="1:19">
      <c r="A107" s="45"/>
      <c r="B107" s="300"/>
      <c r="C107" s="300"/>
      <c r="D107" s="300"/>
      <c r="E107" s="300"/>
      <c r="F107" s="300"/>
      <c r="G107" s="300"/>
      <c r="H107" s="300"/>
      <c r="I107" s="300"/>
      <c r="J107" s="300"/>
      <c r="K107" s="308" t="s">
        <v>377</v>
      </c>
      <c r="L107" s="308" t="s">
        <v>378</v>
      </c>
      <c r="M107" s="308" t="s">
        <v>132</v>
      </c>
      <c r="N107" s="308" t="s">
        <v>372</v>
      </c>
      <c r="O107" s="199"/>
      <c r="P107" s="199"/>
      <c r="Q107" s="158"/>
      <c r="R107" s="43"/>
      <c r="S107" s="45"/>
    </row>
    <row r="108" s="237" customFormat="1" ht="27" spans="1:19">
      <c r="A108" s="45"/>
      <c r="B108" s="300"/>
      <c r="C108" s="300"/>
      <c r="D108" s="300"/>
      <c r="E108" s="300"/>
      <c r="F108" s="300"/>
      <c r="G108" s="300"/>
      <c r="H108" s="300"/>
      <c r="I108" s="300"/>
      <c r="J108" s="300"/>
      <c r="K108" s="308" t="s">
        <v>379</v>
      </c>
      <c r="L108" s="308" t="s">
        <v>380</v>
      </c>
      <c r="M108" s="320"/>
      <c r="N108" s="320"/>
      <c r="O108" s="199"/>
      <c r="P108" s="199"/>
      <c r="Q108" s="158"/>
      <c r="R108" s="43"/>
      <c r="S108" s="45"/>
    </row>
    <row r="109" s="237" customFormat="1" ht="40.5" spans="1:19">
      <c r="A109" s="45"/>
      <c r="B109" s="300"/>
      <c r="C109" s="300"/>
      <c r="D109" s="300"/>
      <c r="E109" s="300"/>
      <c r="F109" s="300"/>
      <c r="G109" s="300"/>
      <c r="H109" s="300"/>
      <c r="I109" s="300"/>
      <c r="J109" s="300"/>
      <c r="K109" s="308" t="s">
        <v>381</v>
      </c>
      <c r="L109" s="308" t="s">
        <v>382</v>
      </c>
      <c r="M109" s="308" t="s">
        <v>383</v>
      </c>
      <c r="N109" s="308" t="s">
        <v>176</v>
      </c>
      <c r="O109" s="199"/>
      <c r="P109" s="199"/>
      <c r="Q109" s="158"/>
      <c r="R109" s="43"/>
      <c r="S109" s="45"/>
    </row>
    <row r="110" s="237" customFormat="1" ht="21" customHeight="1" spans="1:19">
      <c r="A110" s="45"/>
      <c r="B110" s="300"/>
      <c r="C110" s="300"/>
      <c r="D110" s="300"/>
      <c r="E110" s="300"/>
      <c r="F110" s="300"/>
      <c r="G110" s="300"/>
      <c r="H110" s="300"/>
      <c r="I110" s="300"/>
      <c r="J110" s="300"/>
      <c r="K110" s="308" t="s">
        <v>384</v>
      </c>
      <c r="L110" s="308" t="s">
        <v>385</v>
      </c>
      <c r="M110" s="308" t="s">
        <v>70</v>
      </c>
      <c r="N110" s="308" t="s">
        <v>168</v>
      </c>
      <c r="O110" s="199"/>
      <c r="P110" s="199"/>
      <c r="Q110" s="158"/>
      <c r="R110" s="43"/>
      <c r="S110" s="45"/>
    </row>
    <row r="111" s="237" customFormat="1" ht="27" spans="1:19">
      <c r="A111" s="45"/>
      <c r="B111" s="300"/>
      <c r="C111" s="300"/>
      <c r="D111" s="300"/>
      <c r="E111" s="300"/>
      <c r="F111" s="300"/>
      <c r="G111" s="300"/>
      <c r="H111" s="300"/>
      <c r="I111" s="300"/>
      <c r="J111" s="300"/>
      <c r="K111" s="308" t="s">
        <v>386</v>
      </c>
      <c r="L111" s="320" t="s">
        <v>387</v>
      </c>
      <c r="M111" s="308" t="s">
        <v>388</v>
      </c>
      <c r="N111" s="320"/>
      <c r="O111" s="199"/>
      <c r="P111" s="199"/>
      <c r="Q111" s="158"/>
      <c r="R111" s="43"/>
      <c r="S111" s="45"/>
    </row>
    <row r="112" s="237" customFormat="1" ht="27" spans="1:19">
      <c r="A112" s="45"/>
      <c r="B112" s="300"/>
      <c r="C112" s="300"/>
      <c r="D112" s="300"/>
      <c r="E112" s="300"/>
      <c r="F112" s="300"/>
      <c r="G112" s="300"/>
      <c r="H112" s="300"/>
      <c r="I112" s="300"/>
      <c r="J112" s="300"/>
      <c r="K112" s="308" t="s">
        <v>389</v>
      </c>
      <c r="L112" s="320"/>
      <c r="M112" s="320" t="s">
        <v>230</v>
      </c>
      <c r="N112" s="320" t="s">
        <v>231</v>
      </c>
      <c r="O112" s="199"/>
      <c r="P112" s="199"/>
      <c r="Q112" s="158"/>
      <c r="R112" s="43"/>
      <c r="S112" s="45"/>
    </row>
    <row r="113" s="237" customFormat="1" ht="27" spans="1:19">
      <c r="A113" s="45"/>
      <c r="B113" s="300"/>
      <c r="C113" s="300"/>
      <c r="D113" s="300"/>
      <c r="E113" s="300"/>
      <c r="F113" s="300"/>
      <c r="G113" s="300"/>
      <c r="H113" s="300"/>
      <c r="I113" s="300"/>
      <c r="J113" s="300"/>
      <c r="K113" s="308" t="s">
        <v>390</v>
      </c>
      <c r="L113" s="308" t="s">
        <v>391</v>
      </c>
      <c r="M113" s="308" t="s">
        <v>28</v>
      </c>
      <c r="N113" s="308" t="s">
        <v>29</v>
      </c>
      <c r="O113" s="199"/>
      <c r="P113" s="199"/>
      <c r="Q113" s="158"/>
      <c r="R113" s="43"/>
      <c r="S113" s="45"/>
    </row>
    <row r="114" ht="40.5" spans="1:16">
      <c r="A114" s="45"/>
      <c r="B114" s="300"/>
      <c r="C114" s="300"/>
      <c r="D114" s="300"/>
      <c r="E114" s="300"/>
      <c r="F114" s="300"/>
      <c r="G114" s="300"/>
      <c r="H114" s="300"/>
      <c r="I114" s="300"/>
      <c r="J114" s="300"/>
      <c r="K114" s="308" t="s">
        <v>392</v>
      </c>
      <c r="L114" s="308" t="s">
        <v>393</v>
      </c>
      <c r="M114" s="320" t="s">
        <v>230</v>
      </c>
      <c r="N114" s="320" t="s">
        <v>231</v>
      </c>
      <c r="O114" s="199"/>
      <c r="P114" s="199"/>
    </row>
    <row r="115" s="239" customFormat="1" ht="40.5" spans="1:19">
      <c r="A115" s="45"/>
      <c r="B115" s="300"/>
      <c r="C115" s="300"/>
      <c r="D115" s="300"/>
      <c r="E115" s="300"/>
      <c r="F115" s="300"/>
      <c r="G115" s="300"/>
      <c r="H115" s="300"/>
      <c r="I115" s="300"/>
      <c r="J115" s="300"/>
      <c r="K115" s="308" t="s">
        <v>394</v>
      </c>
      <c r="L115" s="308" t="s">
        <v>395</v>
      </c>
      <c r="M115" s="308" t="s">
        <v>36</v>
      </c>
      <c r="N115" s="308" t="s">
        <v>160</v>
      </c>
      <c r="O115" s="106"/>
      <c r="P115" s="106"/>
      <c r="Q115" s="324"/>
      <c r="R115" s="300"/>
      <c r="S115" s="325"/>
    </row>
    <row r="116" s="240" customFormat="1" spans="1:19">
      <c r="A116" s="301"/>
      <c r="C116" s="302"/>
      <c r="D116" s="302"/>
      <c r="G116" s="303"/>
      <c r="J116" s="321"/>
      <c r="K116" s="322"/>
      <c r="L116" s="322"/>
      <c r="M116" s="322"/>
      <c r="N116" s="322"/>
      <c r="O116" s="323"/>
      <c r="P116" s="323"/>
      <c r="Q116" s="323"/>
      <c r="R116" s="323"/>
      <c r="S116" s="322"/>
    </row>
    <row r="117" s="240" customFormat="1" spans="1:19">
      <c r="A117" s="301"/>
      <c r="C117" s="302"/>
      <c r="D117" s="302"/>
      <c r="G117" s="303"/>
      <c r="J117" s="321"/>
      <c r="K117" s="322"/>
      <c r="L117" s="322"/>
      <c r="M117" s="322"/>
      <c r="N117" s="322"/>
      <c r="O117" s="323"/>
      <c r="P117" s="323"/>
      <c r="Q117" s="323"/>
      <c r="R117" s="323"/>
      <c r="S117" s="322"/>
    </row>
    <row r="118" s="240" customFormat="1" spans="1:19">
      <c r="A118" s="301"/>
      <c r="C118" s="302"/>
      <c r="D118" s="302"/>
      <c r="G118" s="303"/>
      <c r="J118" s="321"/>
      <c r="K118" s="322"/>
      <c r="L118" s="322"/>
      <c r="M118" s="322"/>
      <c r="N118" s="322"/>
      <c r="O118" s="323"/>
      <c r="P118" s="323"/>
      <c r="Q118" s="323"/>
      <c r="R118" s="323"/>
      <c r="S118" s="322"/>
    </row>
    <row r="119" s="240" customFormat="1" spans="1:19">
      <c r="A119" s="301"/>
      <c r="C119" s="302"/>
      <c r="D119" s="302"/>
      <c r="G119" s="303"/>
      <c r="J119" s="321"/>
      <c r="K119" s="322"/>
      <c r="L119" s="322"/>
      <c r="M119" s="322"/>
      <c r="N119" s="322"/>
      <c r="O119" s="323"/>
      <c r="P119" s="323"/>
      <c r="Q119" s="323"/>
      <c r="R119" s="323"/>
      <c r="S119" s="322"/>
    </row>
    <row r="120" s="240" customFormat="1" spans="1:19">
      <c r="A120" s="301"/>
      <c r="C120" s="302"/>
      <c r="D120" s="302"/>
      <c r="G120" s="303"/>
      <c r="J120" s="321"/>
      <c r="K120" s="322"/>
      <c r="L120" s="322"/>
      <c r="M120" s="322"/>
      <c r="N120" s="322"/>
      <c r="O120" s="323"/>
      <c r="P120" s="323"/>
      <c r="Q120" s="323"/>
      <c r="R120" s="323"/>
      <c r="S120" s="322"/>
    </row>
    <row r="121" s="240" customFormat="1" spans="1:19">
      <c r="A121" s="301"/>
      <c r="C121" s="302"/>
      <c r="D121" s="302"/>
      <c r="G121" s="303"/>
      <c r="J121" s="321"/>
      <c r="K121" s="322"/>
      <c r="L121" s="322"/>
      <c r="M121" s="322"/>
      <c r="N121" s="322"/>
      <c r="O121" s="323"/>
      <c r="P121" s="323"/>
      <c r="Q121" s="323"/>
      <c r="R121" s="323"/>
      <c r="S121" s="322"/>
    </row>
  </sheetData>
  <mergeCells count="185">
    <mergeCell ref="A1:S1"/>
    <mergeCell ref="K61:L61"/>
    <mergeCell ref="B86:J86"/>
    <mergeCell ref="B87:J87"/>
    <mergeCell ref="A3:A15"/>
    <mergeCell ref="A16:A37"/>
    <mergeCell ref="A38:A41"/>
    <mergeCell ref="A42:A60"/>
    <mergeCell ref="A62:A69"/>
    <mergeCell ref="A70:A85"/>
    <mergeCell ref="A88:A95"/>
    <mergeCell ref="A96:A104"/>
    <mergeCell ref="A105:A115"/>
    <mergeCell ref="B3:B15"/>
    <mergeCell ref="B16:B37"/>
    <mergeCell ref="B38:B40"/>
    <mergeCell ref="B42:B50"/>
    <mergeCell ref="B51:B55"/>
    <mergeCell ref="B56:B60"/>
    <mergeCell ref="B62:B63"/>
    <mergeCell ref="B65:B68"/>
    <mergeCell ref="B70:B74"/>
    <mergeCell ref="B77:B85"/>
    <mergeCell ref="B88:B89"/>
    <mergeCell ref="B90:B91"/>
    <mergeCell ref="B92:B95"/>
    <mergeCell ref="B96:B97"/>
    <mergeCell ref="B99:B104"/>
    <mergeCell ref="B105:B115"/>
    <mergeCell ref="C3:C15"/>
    <mergeCell ref="C16:C37"/>
    <mergeCell ref="C38:C40"/>
    <mergeCell ref="C42:C50"/>
    <mergeCell ref="C51:C55"/>
    <mergeCell ref="C56:C60"/>
    <mergeCell ref="C62:C63"/>
    <mergeCell ref="C65:C68"/>
    <mergeCell ref="C70:C74"/>
    <mergeCell ref="C77:C85"/>
    <mergeCell ref="C88:C89"/>
    <mergeCell ref="C90:C91"/>
    <mergeCell ref="C92:C95"/>
    <mergeCell ref="C96:C97"/>
    <mergeCell ref="C99:C104"/>
    <mergeCell ref="C105:C115"/>
    <mergeCell ref="D3:D15"/>
    <mergeCell ref="D16:D17"/>
    <mergeCell ref="D23:D30"/>
    <mergeCell ref="D31:D37"/>
    <mergeCell ref="D38:D40"/>
    <mergeCell ref="D42:D50"/>
    <mergeCell ref="D51:D55"/>
    <mergeCell ref="D56:D60"/>
    <mergeCell ref="D62:D63"/>
    <mergeCell ref="D65:D68"/>
    <mergeCell ref="D70:D74"/>
    <mergeCell ref="D77:D85"/>
    <mergeCell ref="D88:D89"/>
    <mergeCell ref="D90:D91"/>
    <mergeCell ref="D92:D95"/>
    <mergeCell ref="D96:D97"/>
    <mergeCell ref="D99:D104"/>
    <mergeCell ref="D105:D115"/>
    <mergeCell ref="E3:E15"/>
    <mergeCell ref="E16:E17"/>
    <mergeCell ref="E23:E30"/>
    <mergeCell ref="E31:E37"/>
    <mergeCell ref="E38:E40"/>
    <mergeCell ref="E42:E50"/>
    <mergeCell ref="E51:E55"/>
    <mergeCell ref="E56:E60"/>
    <mergeCell ref="E62:E63"/>
    <mergeCell ref="E65:E68"/>
    <mergeCell ref="E70:E74"/>
    <mergeCell ref="E77:E85"/>
    <mergeCell ref="E88:E89"/>
    <mergeCell ref="E90:E91"/>
    <mergeCell ref="E92:E95"/>
    <mergeCell ref="E96:E97"/>
    <mergeCell ref="E99:E104"/>
    <mergeCell ref="E105:E115"/>
    <mergeCell ref="F3:F15"/>
    <mergeCell ref="F16:F17"/>
    <mergeCell ref="F23:F30"/>
    <mergeCell ref="F31:F37"/>
    <mergeCell ref="F38:F40"/>
    <mergeCell ref="F42:F50"/>
    <mergeCell ref="F51:F55"/>
    <mergeCell ref="F56:F60"/>
    <mergeCell ref="F62:F63"/>
    <mergeCell ref="F65:F68"/>
    <mergeCell ref="F70:F74"/>
    <mergeCell ref="F77:F85"/>
    <mergeCell ref="F88:F89"/>
    <mergeCell ref="F90:F91"/>
    <mergeCell ref="F92:F95"/>
    <mergeCell ref="F96:F97"/>
    <mergeCell ref="F99:F104"/>
    <mergeCell ref="F105:F115"/>
    <mergeCell ref="G3:G15"/>
    <mergeCell ref="G16:G17"/>
    <mergeCell ref="G23:G30"/>
    <mergeCell ref="G31:G37"/>
    <mergeCell ref="G38:G40"/>
    <mergeCell ref="G42:G50"/>
    <mergeCell ref="G51:G55"/>
    <mergeCell ref="G56:G60"/>
    <mergeCell ref="G62:G63"/>
    <mergeCell ref="G65:G68"/>
    <mergeCell ref="G70:G74"/>
    <mergeCell ref="G77:G85"/>
    <mergeCell ref="G88:G89"/>
    <mergeCell ref="G90:G91"/>
    <mergeCell ref="G92:G95"/>
    <mergeCell ref="G96:G97"/>
    <mergeCell ref="G99:G104"/>
    <mergeCell ref="G105:G115"/>
    <mergeCell ref="H3:H15"/>
    <mergeCell ref="H16:H17"/>
    <mergeCell ref="H23:H30"/>
    <mergeCell ref="H31:H37"/>
    <mergeCell ref="H38:H40"/>
    <mergeCell ref="H42:H50"/>
    <mergeCell ref="H51:H55"/>
    <mergeCell ref="H56:H60"/>
    <mergeCell ref="H62:H63"/>
    <mergeCell ref="H65:H68"/>
    <mergeCell ref="H70:H74"/>
    <mergeCell ref="H77:H85"/>
    <mergeCell ref="H88:H89"/>
    <mergeCell ref="H90:H91"/>
    <mergeCell ref="H92:H95"/>
    <mergeCell ref="H96:H97"/>
    <mergeCell ref="H99:H104"/>
    <mergeCell ref="H105:H115"/>
    <mergeCell ref="I3:I15"/>
    <mergeCell ref="I16:I17"/>
    <mergeCell ref="I23:I30"/>
    <mergeCell ref="I31:I37"/>
    <mergeCell ref="I38:I40"/>
    <mergeCell ref="I42:I50"/>
    <mergeCell ref="I51:I55"/>
    <mergeCell ref="I56:I60"/>
    <mergeCell ref="I62:I63"/>
    <mergeCell ref="I65:I68"/>
    <mergeCell ref="I70:I74"/>
    <mergeCell ref="I77:I85"/>
    <mergeCell ref="I88:I89"/>
    <mergeCell ref="I90:I91"/>
    <mergeCell ref="I92:I95"/>
    <mergeCell ref="I96:I97"/>
    <mergeCell ref="I99:I104"/>
    <mergeCell ref="I105:I115"/>
    <mergeCell ref="J3:J15"/>
    <mergeCell ref="J16:J37"/>
    <mergeCell ref="J38:J41"/>
    <mergeCell ref="J42:J60"/>
    <mergeCell ref="J62:J69"/>
    <mergeCell ref="J70:J74"/>
    <mergeCell ref="J77:J85"/>
    <mergeCell ref="J88:J91"/>
    <mergeCell ref="J92:J95"/>
    <mergeCell ref="J96:J104"/>
    <mergeCell ref="J105:J115"/>
    <mergeCell ref="O3:O15"/>
    <mergeCell ref="O16:O37"/>
    <mergeCell ref="O38:O40"/>
    <mergeCell ref="O42:O60"/>
    <mergeCell ref="O62:O69"/>
    <mergeCell ref="O70:O85"/>
    <mergeCell ref="O88:O95"/>
    <mergeCell ref="O96:O97"/>
    <mergeCell ref="O99:O104"/>
    <mergeCell ref="O105:O115"/>
    <mergeCell ref="P3:P15"/>
    <mergeCell ref="P16:P37"/>
    <mergeCell ref="P38:P40"/>
    <mergeCell ref="P42:P60"/>
    <mergeCell ref="P62:P69"/>
    <mergeCell ref="P70:P85"/>
    <mergeCell ref="P88:P95"/>
    <mergeCell ref="P96:P97"/>
    <mergeCell ref="P99:P104"/>
    <mergeCell ref="P105:P115"/>
    <mergeCell ref="R38:R40"/>
  </mergeCells>
  <conditionalFormatting sqref="K3:K15">
    <cfRule type="expression" dxfId="0" priority="7">
      <formula>OR($K3="延期",AND(#REF!="严重",$K3=""))</formula>
    </cfRule>
    <cfRule type="expression" dxfId="1" priority="8">
      <formula>$K3="已完成"</formula>
    </cfRule>
  </conditionalFormatting>
  <conditionalFormatting sqref="L3:L15">
    <cfRule type="expression" dxfId="0" priority="5">
      <formula>OR($K3="延期",AND(#REF!="严重",$K3=""))</formula>
    </cfRule>
    <cfRule type="expression" dxfId="1" priority="6">
      <formula>$K3="已完成"</formula>
    </cfRule>
  </conditionalFormatting>
  <dataValidations count="1">
    <dataValidation allowBlank="1" showInputMessage="1" showErrorMessage="1" sqref="K3:L15"/>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H13"/>
  <sheetViews>
    <sheetView tabSelected="1" workbookViewId="0">
      <selection activeCell="B3" sqref="B3"/>
    </sheetView>
  </sheetViews>
  <sheetFormatPr defaultColWidth="9" defaultRowHeight="14.25" outlineLevelCol="7"/>
  <cols>
    <col min="1" max="2" width="12.125" customWidth="1"/>
    <col min="3" max="3" width="10" customWidth="1"/>
    <col min="4" max="4" width="9.5" customWidth="1"/>
    <col min="5" max="5" width="10.875" customWidth="1"/>
    <col min="6" max="6" width="8.625" customWidth="1"/>
  </cols>
  <sheetData>
    <row r="1" ht="29" customHeight="1" spans="1:8">
      <c r="A1" s="217" t="s">
        <v>396</v>
      </c>
      <c r="B1" s="218"/>
      <c r="C1" s="218"/>
      <c r="D1" s="218"/>
      <c r="E1" s="218"/>
      <c r="F1" s="218"/>
      <c r="G1" s="218"/>
      <c r="H1" s="219"/>
    </row>
    <row r="2" ht="33" customHeight="1" spans="1:8">
      <c r="A2" s="220" t="s">
        <v>13</v>
      </c>
      <c r="B2" s="221" t="s">
        <v>397</v>
      </c>
      <c r="C2" s="222" t="s">
        <v>398</v>
      </c>
      <c r="D2" s="223"/>
      <c r="E2" s="222" t="s">
        <v>399</v>
      </c>
      <c r="F2" s="224"/>
      <c r="G2" s="225" t="s">
        <v>400</v>
      </c>
      <c r="H2" s="226" t="s">
        <v>401</v>
      </c>
    </row>
    <row r="3" ht="24" customHeight="1" spans="1:8">
      <c r="A3" s="227" t="s">
        <v>84</v>
      </c>
      <c r="B3" s="26">
        <v>6</v>
      </c>
      <c r="C3" s="26">
        <v>62</v>
      </c>
      <c r="D3" s="228">
        <f t="shared" ref="D3:D11" si="0">B3/C3*100%</f>
        <v>0.0967741935483871</v>
      </c>
      <c r="E3" s="229">
        <v>274</v>
      </c>
      <c r="F3" s="230">
        <f t="shared" ref="F3:F11" si="1">B3/E3*100%</f>
        <v>0.0218978102189781</v>
      </c>
      <c r="G3" s="231">
        <f>372/342*100%</f>
        <v>1.08771929824561</v>
      </c>
      <c r="H3" s="231">
        <f>372/2926*100%</f>
        <v>0.127136021872864</v>
      </c>
    </row>
    <row r="4" ht="24" customHeight="1" spans="1:8">
      <c r="A4" s="227" t="s">
        <v>44</v>
      </c>
      <c r="B4" s="26">
        <v>55</v>
      </c>
      <c r="C4" s="26">
        <v>101</v>
      </c>
      <c r="D4" s="228">
        <f t="shared" si="0"/>
        <v>0.544554455445545</v>
      </c>
      <c r="E4" s="229">
        <v>800</v>
      </c>
      <c r="F4" s="230">
        <f t="shared" si="1"/>
        <v>0.06875</v>
      </c>
      <c r="G4" s="232"/>
      <c r="H4" s="232"/>
    </row>
    <row r="5" ht="24" customHeight="1" spans="1:8">
      <c r="A5" s="227" t="s">
        <v>28</v>
      </c>
      <c r="B5" s="26">
        <v>46</v>
      </c>
      <c r="C5" s="26">
        <v>101</v>
      </c>
      <c r="D5" s="228">
        <f t="shared" si="0"/>
        <v>0.455445544554455</v>
      </c>
      <c r="E5" s="229">
        <v>800</v>
      </c>
      <c r="F5" s="230">
        <f t="shared" si="1"/>
        <v>0.0575</v>
      </c>
      <c r="G5" s="232"/>
      <c r="H5" s="232"/>
    </row>
    <row r="6" ht="24" customHeight="1" spans="1:8">
      <c r="A6" s="227" t="s">
        <v>52</v>
      </c>
      <c r="B6" s="26">
        <v>53</v>
      </c>
      <c r="C6" s="26">
        <v>101</v>
      </c>
      <c r="D6" s="228">
        <f t="shared" si="0"/>
        <v>0.524752475247525</v>
      </c>
      <c r="E6" s="229">
        <v>800</v>
      </c>
      <c r="F6" s="230">
        <f t="shared" si="1"/>
        <v>0.06625</v>
      </c>
      <c r="G6" s="232"/>
      <c r="H6" s="232"/>
    </row>
    <row r="7" ht="24" customHeight="1" spans="1:8">
      <c r="A7" s="227" t="s">
        <v>70</v>
      </c>
      <c r="B7" s="26">
        <v>63</v>
      </c>
      <c r="C7" s="26">
        <v>101</v>
      </c>
      <c r="D7" s="228">
        <f t="shared" si="0"/>
        <v>0.623762376237624</v>
      </c>
      <c r="E7" s="229">
        <v>800</v>
      </c>
      <c r="F7" s="230">
        <f t="shared" si="1"/>
        <v>0.07875</v>
      </c>
      <c r="G7" s="232"/>
      <c r="H7" s="232"/>
    </row>
    <row r="8" ht="24" customHeight="1" spans="1:8">
      <c r="A8" s="227" t="s">
        <v>402</v>
      </c>
      <c r="B8" s="26">
        <v>133</v>
      </c>
      <c r="C8" s="26">
        <v>101</v>
      </c>
      <c r="D8" s="228">
        <f t="shared" si="0"/>
        <v>1.31683168316832</v>
      </c>
      <c r="E8" s="229">
        <v>800</v>
      </c>
      <c r="F8" s="230">
        <f t="shared" si="1"/>
        <v>0.16625</v>
      </c>
      <c r="G8" s="232"/>
      <c r="H8" s="232"/>
    </row>
    <row r="9" ht="24" customHeight="1" spans="1:8">
      <c r="A9" s="227" t="s">
        <v>298</v>
      </c>
      <c r="B9" s="26">
        <v>4</v>
      </c>
      <c r="C9" s="26">
        <v>70</v>
      </c>
      <c r="D9" s="228">
        <f t="shared" si="0"/>
        <v>0.0571428571428571</v>
      </c>
      <c r="E9" s="26">
        <v>699</v>
      </c>
      <c r="F9" s="230">
        <f t="shared" si="1"/>
        <v>0.00572246065808298</v>
      </c>
      <c r="G9" s="232"/>
      <c r="H9" s="232"/>
    </row>
    <row r="10" ht="21" customHeight="1" spans="1:8">
      <c r="A10" s="227" t="s">
        <v>308</v>
      </c>
      <c r="B10" s="233">
        <v>9</v>
      </c>
      <c r="C10" s="26">
        <v>70</v>
      </c>
      <c r="D10" s="228">
        <f t="shared" si="0"/>
        <v>0.128571428571429</v>
      </c>
      <c r="E10" s="26">
        <v>627</v>
      </c>
      <c r="F10" s="230">
        <f t="shared" si="1"/>
        <v>0.0143540669856459</v>
      </c>
      <c r="G10" s="232"/>
      <c r="H10" s="232"/>
    </row>
    <row r="11" ht="21" customHeight="1" spans="1:8">
      <c r="A11" s="227" t="s">
        <v>230</v>
      </c>
      <c r="B11" s="233">
        <v>3</v>
      </c>
      <c r="C11" s="26">
        <v>39</v>
      </c>
      <c r="D11" s="228">
        <f t="shared" si="0"/>
        <v>0.0769230769230769</v>
      </c>
      <c r="E11" s="26">
        <v>526</v>
      </c>
      <c r="F11" s="230">
        <f t="shared" si="1"/>
        <v>0.00570342205323194</v>
      </c>
      <c r="G11" s="234"/>
      <c r="H11" s="234"/>
    </row>
    <row r="13" ht="15.75" spans="1:1">
      <c r="A13" s="235" t="s">
        <v>403</v>
      </c>
    </row>
  </sheetData>
  <mergeCells count="5">
    <mergeCell ref="A1:H1"/>
    <mergeCell ref="C2:D2"/>
    <mergeCell ref="E2:F2"/>
    <mergeCell ref="G3:G11"/>
    <mergeCell ref="H3:H11"/>
  </mergeCells>
  <hyperlinks>
    <hyperlink ref="A3" location="客户!A1" display="客户"/>
    <hyperlink ref="A4" location="采购!A1" display="采购"/>
    <hyperlink ref="A5" location="生产!A1" display="生产"/>
    <hyperlink ref="A6" location="电气!A1" display="电气"/>
    <hyperlink ref="A7" location="测试!A1" display="测试"/>
    <hyperlink ref="A8" location="机械!A1" display="机械"/>
    <hyperlink ref="A9" location="PMC!A1" display="PMC"/>
    <hyperlink ref="A10" location="销售!A1" display="销售"/>
    <hyperlink ref="A11" location="研发!A1" display="研发"/>
  </hyperlinks>
  <pageMargins left="0.75" right="0.75" top="1" bottom="1" header="0.5" footer="0.5"/>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S121"/>
  <sheetViews>
    <sheetView workbookViewId="0">
      <pane xSplit="1" ySplit="2" topLeftCell="B3" activePane="bottomRight" state="frozen"/>
      <selection/>
      <selection pane="topRight"/>
      <selection pane="bottomLeft"/>
      <selection pane="bottomRight" activeCell="A1" sqref="A1:S1"/>
    </sheetView>
  </sheetViews>
  <sheetFormatPr defaultColWidth="11" defaultRowHeight="13.5"/>
  <cols>
    <col min="1" max="2" width="11" style="2"/>
    <col min="3" max="3" width="11" style="4"/>
    <col min="4" max="4" width="21.2166666666667" style="4" customWidth="1"/>
    <col min="5" max="5" width="14.1666666666667" style="2" customWidth="1"/>
    <col min="6" max="6" width="11" style="2"/>
    <col min="7" max="7" width="12.3583333333333" style="5" customWidth="1"/>
    <col min="8" max="8" width="11.2083333333333" style="2"/>
    <col min="9" max="10" width="11" style="2"/>
    <col min="11" max="11" width="31.6416666666667" style="4" customWidth="1"/>
    <col min="12" max="12" width="40.6416666666667" style="4" customWidth="1"/>
    <col min="13" max="14" width="9.1" style="4"/>
    <col min="15" max="15" width="15" style="2" customWidth="1"/>
    <col min="16" max="16" width="10.6416666666667" style="2" customWidth="1"/>
    <col min="17" max="18" width="9.1" style="2"/>
    <col min="19" max="19" width="17.425" style="4" customWidth="1"/>
    <col min="20" max="16384" width="11" style="2"/>
  </cols>
  <sheetData>
    <row r="1" s="1" customFormat="1" ht="31.5" spans="1:19">
      <c r="A1" s="6" t="s">
        <v>404</v>
      </c>
      <c r="B1" s="7"/>
      <c r="C1" s="8"/>
      <c r="D1" s="8"/>
      <c r="E1" s="7"/>
      <c r="F1" s="7"/>
      <c r="G1" s="9"/>
      <c r="H1" s="7"/>
      <c r="I1" s="7"/>
      <c r="J1" s="7"/>
      <c r="K1" s="7"/>
      <c r="L1" s="7"/>
      <c r="M1" s="7"/>
      <c r="N1" s="7"/>
      <c r="O1" s="7"/>
      <c r="P1" s="7"/>
      <c r="Q1" s="7"/>
      <c r="R1" s="7"/>
      <c r="S1" s="20"/>
    </row>
    <row r="2" s="1" customFormat="1" ht="42.75" spans="1:19">
      <c r="A2" s="10" t="s">
        <v>1</v>
      </c>
      <c r="B2" s="11" t="s">
        <v>2</v>
      </c>
      <c r="C2" s="11" t="s">
        <v>3</v>
      </c>
      <c r="D2" s="12" t="s">
        <v>4</v>
      </c>
      <c r="E2" s="10" t="s">
        <v>5</v>
      </c>
      <c r="F2" s="11" t="s">
        <v>6</v>
      </c>
      <c r="G2" s="12" t="s">
        <v>7</v>
      </c>
      <c r="H2" s="11" t="s">
        <v>8</v>
      </c>
      <c r="I2" s="11" t="s">
        <v>9</v>
      </c>
      <c r="J2" s="11" t="s">
        <v>10</v>
      </c>
      <c r="K2" s="18" t="s">
        <v>11</v>
      </c>
      <c r="L2" s="18" t="s">
        <v>12</v>
      </c>
      <c r="M2" s="18" t="s">
        <v>13</v>
      </c>
      <c r="N2" s="18" t="s">
        <v>14</v>
      </c>
      <c r="O2" s="18" t="s">
        <v>15</v>
      </c>
      <c r="P2" s="18" t="s">
        <v>16</v>
      </c>
      <c r="Q2" s="18" t="s">
        <v>17</v>
      </c>
      <c r="R2" s="18" t="s">
        <v>18</v>
      </c>
      <c r="S2" s="18" t="s">
        <v>19</v>
      </c>
    </row>
    <row r="3" s="81" customFormat="1" ht="27" hidden="1" spans="1:19">
      <c r="A3" s="85" t="s">
        <v>20</v>
      </c>
      <c r="B3" s="85" t="s">
        <v>21</v>
      </c>
      <c r="C3" s="85" t="s">
        <v>22</v>
      </c>
      <c r="D3" s="85" t="s">
        <v>23</v>
      </c>
      <c r="E3" s="85" t="s">
        <v>24</v>
      </c>
      <c r="F3" s="85">
        <v>77</v>
      </c>
      <c r="G3" s="85">
        <v>2024.9</v>
      </c>
      <c r="H3" s="85">
        <v>22</v>
      </c>
      <c r="I3" s="85">
        <v>77</v>
      </c>
      <c r="J3" s="85" t="s">
        <v>25</v>
      </c>
      <c r="K3" s="29" t="s">
        <v>26</v>
      </c>
      <c r="L3" s="29" t="s">
        <v>27</v>
      </c>
      <c r="M3" s="43" t="s">
        <v>28</v>
      </c>
      <c r="N3" s="100" t="s">
        <v>29</v>
      </c>
      <c r="O3" s="101" t="s">
        <v>30</v>
      </c>
      <c r="P3" s="101" t="s">
        <v>31</v>
      </c>
      <c r="Q3" s="100"/>
      <c r="R3" s="100"/>
      <c r="S3" s="100"/>
    </row>
    <row r="4" s="81" customFormat="1" ht="27" hidden="1" spans="1:19">
      <c r="A4" s="85" t="s">
        <v>20</v>
      </c>
      <c r="B4" s="85" t="s">
        <v>21</v>
      </c>
      <c r="C4" s="85" t="s">
        <v>22</v>
      </c>
      <c r="D4" s="85" t="s">
        <v>23</v>
      </c>
      <c r="E4" s="85" t="s">
        <v>24</v>
      </c>
      <c r="F4" s="85">
        <v>77</v>
      </c>
      <c r="G4" s="85">
        <v>2024.9</v>
      </c>
      <c r="H4" s="85">
        <v>22</v>
      </c>
      <c r="I4" s="85">
        <v>77</v>
      </c>
      <c r="J4" s="85" t="s">
        <v>25</v>
      </c>
      <c r="K4" s="29" t="s">
        <v>32</v>
      </c>
      <c r="L4" s="29" t="s">
        <v>33</v>
      </c>
      <c r="M4" s="43" t="s">
        <v>28</v>
      </c>
      <c r="N4" s="100" t="s">
        <v>29</v>
      </c>
      <c r="O4" s="101" t="s">
        <v>30</v>
      </c>
      <c r="P4" s="101" t="s">
        <v>31</v>
      </c>
      <c r="Q4" s="100"/>
      <c r="R4" s="100"/>
      <c r="S4" s="100"/>
    </row>
    <row r="5" s="81" customFormat="1" ht="27" hidden="1" spans="1:19">
      <c r="A5" s="85" t="s">
        <v>20</v>
      </c>
      <c r="B5" s="85" t="s">
        <v>21</v>
      </c>
      <c r="C5" s="85" t="s">
        <v>22</v>
      </c>
      <c r="D5" s="85" t="s">
        <v>23</v>
      </c>
      <c r="E5" s="85" t="s">
        <v>24</v>
      </c>
      <c r="F5" s="85">
        <v>77</v>
      </c>
      <c r="G5" s="85">
        <v>2024.9</v>
      </c>
      <c r="H5" s="85">
        <v>22</v>
      </c>
      <c r="I5" s="85">
        <v>77</v>
      </c>
      <c r="J5" s="85" t="s">
        <v>25</v>
      </c>
      <c r="K5" s="29" t="s">
        <v>34</v>
      </c>
      <c r="L5" s="29" t="s">
        <v>35</v>
      </c>
      <c r="M5" s="45" t="s">
        <v>36</v>
      </c>
      <c r="N5" s="100" t="s">
        <v>37</v>
      </c>
      <c r="O5" s="101" t="s">
        <v>30</v>
      </c>
      <c r="P5" s="101" t="s">
        <v>31</v>
      </c>
      <c r="Q5" s="100"/>
      <c r="R5" s="100"/>
      <c r="S5" s="100"/>
    </row>
    <row r="6" s="81" customFormat="1" ht="27" hidden="1" spans="1:19">
      <c r="A6" s="85" t="s">
        <v>20</v>
      </c>
      <c r="B6" s="85" t="s">
        <v>21</v>
      </c>
      <c r="C6" s="85" t="s">
        <v>22</v>
      </c>
      <c r="D6" s="85" t="s">
        <v>23</v>
      </c>
      <c r="E6" s="85" t="s">
        <v>24</v>
      </c>
      <c r="F6" s="85">
        <v>77</v>
      </c>
      <c r="G6" s="85">
        <v>2024.9</v>
      </c>
      <c r="H6" s="85">
        <v>22</v>
      </c>
      <c r="I6" s="85">
        <v>77</v>
      </c>
      <c r="J6" s="85" t="s">
        <v>25</v>
      </c>
      <c r="K6" s="29" t="s">
        <v>38</v>
      </c>
      <c r="L6" s="29" t="s">
        <v>39</v>
      </c>
      <c r="M6" s="45" t="s">
        <v>36</v>
      </c>
      <c r="N6" s="100" t="s">
        <v>37</v>
      </c>
      <c r="O6" s="101" t="s">
        <v>30</v>
      </c>
      <c r="P6" s="101" t="s">
        <v>31</v>
      </c>
      <c r="Q6" s="100"/>
      <c r="R6" s="100"/>
      <c r="S6" s="100"/>
    </row>
    <row r="7" s="81" customFormat="1" ht="27" hidden="1" spans="1:19">
      <c r="A7" s="85" t="s">
        <v>20</v>
      </c>
      <c r="B7" s="85" t="s">
        <v>21</v>
      </c>
      <c r="C7" s="85" t="s">
        <v>22</v>
      </c>
      <c r="D7" s="85" t="s">
        <v>23</v>
      </c>
      <c r="E7" s="85" t="s">
        <v>24</v>
      </c>
      <c r="F7" s="85">
        <v>77</v>
      </c>
      <c r="G7" s="85">
        <v>2024.9</v>
      </c>
      <c r="H7" s="85">
        <v>22</v>
      </c>
      <c r="I7" s="85">
        <v>77</v>
      </c>
      <c r="J7" s="85" t="s">
        <v>25</v>
      </c>
      <c r="K7" s="29" t="s">
        <v>40</v>
      </c>
      <c r="L7" s="29" t="s">
        <v>41</v>
      </c>
      <c r="M7" s="45" t="s">
        <v>36</v>
      </c>
      <c r="N7" s="100" t="s">
        <v>37</v>
      </c>
      <c r="O7" s="101" t="s">
        <v>30</v>
      </c>
      <c r="P7" s="101" t="s">
        <v>31</v>
      </c>
      <c r="Q7" s="100"/>
      <c r="R7" s="100"/>
      <c r="S7" s="100"/>
    </row>
    <row r="8" s="81" customFormat="1" ht="36" hidden="1" spans="1:19">
      <c r="A8" s="85" t="s">
        <v>20</v>
      </c>
      <c r="B8" s="85" t="s">
        <v>21</v>
      </c>
      <c r="C8" s="85" t="s">
        <v>22</v>
      </c>
      <c r="D8" s="85" t="s">
        <v>23</v>
      </c>
      <c r="E8" s="85" t="s">
        <v>24</v>
      </c>
      <c r="F8" s="85">
        <v>77</v>
      </c>
      <c r="G8" s="85">
        <v>2024.9</v>
      </c>
      <c r="H8" s="85">
        <v>22</v>
      </c>
      <c r="I8" s="85">
        <v>77</v>
      </c>
      <c r="J8" s="85" t="s">
        <v>25</v>
      </c>
      <c r="K8" s="29" t="s">
        <v>42</v>
      </c>
      <c r="L8" s="29" t="s">
        <v>43</v>
      </c>
      <c r="M8" s="45" t="s">
        <v>44</v>
      </c>
      <c r="N8" s="100" t="s">
        <v>45</v>
      </c>
      <c r="O8" s="101" t="s">
        <v>30</v>
      </c>
      <c r="P8" s="101" t="s">
        <v>31</v>
      </c>
      <c r="Q8" s="100"/>
      <c r="R8" s="100"/>
      <c r="S8" s="100"/>
    </row>
    <row r="9" s="81" customFormat="1" ht="36" hidden="1" spans="1:19">
      <c r="A9" s="85" t="s">
        <v>20</v>
      </c>
      <c r="B9" s="85" t="s">
        <v>21</v>
      </c>
      <c r="C9" s="85" t="s">
        <v>22</v>
      </c>
      <c r="D9" s="85" t="s">
        <v>23</v>
      </c>
      <c r="E9" s="85" t="s">
        <v>24</v>
      </c>
      <c r="F9" s="85">
        <v>77</v>
      </c>
      <c r="G9" s="85">
        <v>2024.9</v>
      </c>
      <c r="H9" s="85">
        <v>22</v>
      </c>
      <c r="I9" s="85">
        <v>77</v>
      </c>
      <c r="J9" s="85" t="s">
        <v>25</v>
      </c>
      <c r="K9" s="29" t="s">
        <v>46</v>
      </c>
      <c r="L9" s="29" t="s">
        <v>47</v>
      </c>
      <c r="M9" s="45" t="s">
        <v>44</v>
      </c>
      <c r="N9" s="100" t="s">
        <v>45</v>
      </c>
      <c r="O9" s="101" t="s">
        <v>30</v>
      </c>
      <c r="P9" s="101" t="s">
        <v>31</v>
      </c>
      <c r="Q9" s="100"/>
      <c r="R9" s="100"/>
      <c r="S9" s="100"/>
    </row>
    <row r="10" s="81" customFormat="1" ht="27" hidden="1" spans="1:19">
      <c r="A10" s="85" t="s">
        <v>20</v>
      </c>
      <c r="B10" s="85" t="s">
        <v>21</v>
      </c>
      <c r="C10" s="85" t="s">
        <v>22</v>
      </c>
      <c r="D10" s="85" t="s">
        <v>23</v>
      </c>
      <c r="E10" s="85" t="s">
        <v>24</v>
      </c>
      <c r="F10" s="85">
        <v>77</v>
      </c>
      <c r="G10" s="85">
        <v>2024.9</v>
      </c>
      <c r="H10" s="85">
        <v>22</v>
      </c>
      <c r="I10" s="85">
        <v>77</v>
      </c>
      <c r="J10" s="85" t="s">
        <v>25</v>
      </c>
      <c r="K10" s="29" t="s">
        <v>48</v>
      </c>
      <c r="L10" s="29" t="s">
        <v>49</v>
      </c>
      <c r="M10" s="45" t="s">
        <v>44</v>
      </c>
      <c r="N10" s="100" t="s">
        <v>45</v>
      </c>
      <c r="O10" s="101" t="s">
        <v>30</v>
      </c>
      <c r="P10" s="101" t="s">
        <v>31</v>
      </c>
      <c r="Q10" s="100"/>
      <c r="R10" s="100"/>
      <c r="S10" s="100"/>
    </row>
    <row r="11" s="81" customFormat="1" ht="27" hidden="1" spans="1:19">
      <c r="A11" s="85" t="s">
        <v>20</v>
      </c>
      <c r="B11" s="85" t="s">
        <v>21</v>
      </c>
      <c r="C11" s="85" t="s">
        <v>22</v>
      </c>
      <c r="D11" s="85" t="s">
        <v>23</v>
      </c>
      <c r="E11" s="85" t="s">
        <v>24</v>
      </c>
      <c r="F11" s="85">
        <v>77</v>
      </c>
      <c r="G11" s="85">
        <v>2024.9</v>
      </c>
      <c r="H11" s="85">
        <v>22</v>
      </c>
      <c r="I11" s="85">
        <v>77</v>
      </c>
      <c r="J11" s="85" t="s">
        <v>25</v>
      </c>
      <c r="K11" s="29" t="s">
        <v>50</v>
      </c>
      <c r="L11" s="29" t="s">
        <v>51</v>
      </c>
      <c r="M11" s="45" t="s">
        <v>52</v>
      </c>
      <c r="N11" s="100" t="s">
        <v>53</v>
      </c>
      <c r="O11" s="101" t="s">
        <v>30</v>
      </c>
      <c r="P11" s="101" t="s">
        <v>31</v>
      </c>
      <c r="Q11" s="100"/>
      <c r="R11" s="100"/>
      <c r="S11" s="100"/>
    </row>
    <row r="12" s="81" customFormat="1" ht="27" hidden="1" spans="1:19">
      <c r="A12" s="85" t="s">
        <v>20</v>
      </c>
      <c r="B12" s="85" t="s">
        <v>21</v>
      </c>
      <c r="C12" s="85" t="s">
        <v>22</v>
      </c>
      <c r="D12" s="85" t="s">
        <v>23</v>
      </c>
      <c r="E12" s="85" t="s">
        <v>24</v>
      </c>
      <c r="F12" s="85">
        <v>77</v>
      </c>
      <c r="G12" s="85">
        <v>2024.9</v>
      </c>
      <c r="H12" s="85">
        <v>22</v>
      </c>
      <c r="I12" s="85">
        <v>77</v>
      </c>
      <c r="J12" s="85" t="s">
        <v>25</v>
      </c>
      <c r="K12" s="29" t="s">
        <v>54</v>
      </c>
      <c r="L12" s="29" t="s">
        <v>55</v>
      </c>
      <c r="M12" s="45" t="s">
        <v>44</v>
      </c>
      <c r="N12" s="100" t="s">
        <v>45</v>
      </c>
      <c r="O12" s="101" t="s">
        <v>30</v>
      </c>
      <c r="P12" s="101" t="s">
        <v>31</v>
      </c>
      <c r="Q12" s="100"/>
      <c r="R12" s="100"/>
      <c r="S12" s="100"/>
    </row>
    <row r="13" s="81" customFormat="1" ht="27" hidden="1" spans="1:19">
      <c r="A13" s="85" t="s">
        <v>20</v>
      </c>
      <c r="B13" s="85" t="s">
        <v>21</v>
      </c>
      <c r="C13" s="85" t="s">
        <v>22</v>
      </c>
      <c r="D13" s="85" t="s">
        <v>23</v>
      </c>
      <c r="E13" s="85" t="s">
        <v>24</v>
      </c>
      <c r="F13" s="85">
        <v>77</v>
      </c>
      <c r="G13" s="85">
        <v>2024.9</v>
      </c>
      <c r="H13" s="85">
        <v>22</v>
      </c>
      <c r="I13" s="85">
        <v>77</v>
      </c>
      <c r="J13" s="85" t="s">
        <v>25</v>
      </c>
      <c r="K13" s="29" t="s">
        <v>56</v>
      </c>
      <c r="L13" s="29" t="s">
        <v>57</v>
      </c>
      <c r="M13" s="45" t="s">
        <v>44</v>
      </c>
      <c r="N13" s="100" t="s">
        <v>45</v>
      </c>
      <c r="O13" s="101" t="s">
        <v>30</v>
      </c>
      <c r="P13" s="101" t="s">
        <v>31</v>
      </c>
      <c r="Q13" s="100"/>
      <c r="R13" s="100"/>
      <c r="S13" s="100"/>
    </row>
    <row r="14" s="81" customFormat="1" ht="27" hidden="1" spans="1:19">
      <c r="A14" s="85" t="s">
        <v>20</v>
      </c>
      <c r="B14" s="85" t="s">
        <v>21</v>
      </c>
      <c r="C14" s="85" t="s">
        <v>22</v>
      </c>
      <c r="D14" s="85" t="s">
        <v>23</v>
      </c>
      <c r="E14" s="85" t="s">
        <v>24</v>
      </c>
      <c r="F14" s="85">
        <v>77</v>
      </c>
      <c r="G14" s="85">
        <v>2024.9</v>
      </c>
      <c r="H14" s="85">
        <v>22</v>
      </c>
      <c r="I14" s="85">
        <v>77</v>
      </c>
      <c r="J14" s="85" t="s">
        <v>25</v>
      </c>
      <c r="K14" s="29" t="s">
        <v>58</v>
      </c>
      <c r="L14" s="29" t="s">
        <v>59</v>
      </c>
      <c r="M14" s="45" t="s">
        <v>44</v>
      </c>
      <c r="N14" s="100" t="s">
        <v>45</v>
      </c>
      <c r="O14" s="101" t="s">
        <v>30</v>
      </c>
      <c r="P14" s="101" t="s">
        <v>31</v>
      </c>
      <c r="Q14" s="100"/>
      <c r="R14" s="100"/>
      <c r="S14" s="100"/>
    </row>
    <row r="15" s="81" customFormat="1" ht="36" hidden="1" spans="1:19">
      <c r="A15" s="85" t="s">
        <v>20</v>
      </c>
      <c r="B15" s="85" t="s">
        <v>21</v>
      </c>
      <c r="C15" s="85" t="s">
        <v>22</v>
      </c>
      <c r="D15" s="85" t="s">
        <v>23</v>
      </c>
      <c r="E15" s="85" t="s">
        <v>24</v>
      </c>
      <c r="F15" s="85">
        <v>77</v>
      </c>
      <c r="G15" s="85">
        <v>2024.9</v>
      </c>
      <c r="H15" s="85">
        <v>22</v>
      </c>
      <c r="I15" s="85">
        <v>77</v>
      </c>
      <c r="J15" s="85" t="s">
        <v>25</v>
      </c>
      <c r="K15" s="29" t="s">
        <v>60</v>
      </c>
      <c r="L15" s="29" t="s">
        <v>61</v>
      </c>
      <c r="M15" s="45" t="s">
        <v>36</v>
      </c>
      <c r="N15" s="100" t="s">
        <v>37</v>
      </c>
      <c r="O15" s="101" t="s">
        <v>30</v>
      </c>
      <c r="P15" s="101" t="s">
        <v>31</v>
      </c>
      <c r="Q15" s="100"/>
      <c r="R15" s="100"/>
      <c r="S15" s="100"/>
    </row>
    <row r="16" s="2" customFormat="1" ht="27" hidden="1" spans="1:19">
      <c r="A16" s="32" t="s">
        <v>62</v>
      </c>
      <c r="B16" s="32" t="s">
        <v>63</v>
      </c>
      <c r="C16" s="32" t="s">
        <v>64</v>
      </c>
      <c r="D16" s="207" t="s">
        <v>65</v>
      </c>
      <c r="E16" s="207" t="s">
        <v>66</v>
      </c>
      <c r="F16" s="207">
        <v>1</v>
      </c>
      <c r="G16" s="207">
        <v>2024.6</v>
      </c>
      <c r="H16" s="207">
        <v>29</v>
      </c>
      <c r="I16" s="207">
        <v>1</v>
      </c>
      <c r="J16" s="33" t="s">
        <v>67</v>
      </c>
      <c r="K16" s="36" t="s">
        <v>68</v>
      </c>
      <c r="L16" s="37" t="s">
        <v>69</v>
      </c>
      <c r="M16" s="43" t="s">
        <v>70</v>
      </c>
      <c r="N16" s="100" t="s">
        <v>71</v>
      </c>
      <c r="O16" s="38" t="s">
        <v>72</v>
      </c>
      <c r="P16" s="38" t="s">
        <v>73</v>
      </c>
      <c r="Q16" s="128"/>
      <c r="R16" s="128"/>
      <c r="S16" s="106"/>
    </row>
    <row r="17" s="2" customFormat="1" ht="54" hidden="1" spans="1:19">
      <c r="A17" s="32" t="s">
        <v>62</v>
      </c>
      <c r="B17" s="32" t="s">
        <v>63</v>
      </c>
      <c r="C17" s="32" t="s">
        <v>64</v>
      </c>
      <c r="D17" s="207" t="s">
        <v>65</v>
      </c>
      <c r="E17" s="207" t="s">
        <v>66</v>
      </c>
      <c r="F17" s="207">
        <v>1</v>
      </c>
      <c r="G17" s="207">
        <v>2024.6</v>
      </c>
      <c r="H17" s="207">
        <v>29</v>
      </c>
      <c r="I17" s="207">
        <v>1</v>
      </c>
      <c r="J17" s="33" t="s">
        <v>67</v>
      </c>
      <c r="K17" s="36" t="s">
        <v>74</v>
      </c>
      <c r="L17" s="37" t="s">
        <v>75</v>
      </c>
      <c r="M17" s="43" t="s">
        <v>70</v>
      </c>
      <c r="N17" s="100" t="s">
        <v>71</v>
      </c>
      <c r="O17" s="38" t="s">
        <v>72</v>
      </c>
      <c r="P17" s="38" t="s">
        <v>73</v>
      </c>
      <c r="Q17" s="128"/>
      <c r="R17" s="128"/>
      <c r="S17" s="106"/>
    </row>
    <row r="18" s="2" customFormat="1" ht="54" hidden="1" spans="1:19">
      <c r="A18" s="32" t="s">
        <v>62</v>
      </c>
      <c r="B18" s="32" t="s">
        <v>63</v>
      </c>
      <c r="C18" s="32" t="s">
        <v>64</v>
      </c>
      <c r="D18" s="88" t="s">
        <v>76</v>
      </c>
      <c r="E18" s="88" t="s">
        <v>77</v>
      </c>
      <c r="F18" s="88">
        <v>1</v>
      </c>
      <c r="G18" s="88">
        <v>2024.6</v>
      </c>
      <c r="H18" s="88">
        <v>29</v>
      </c>
      <c r="I18" s="88">
        <v>1</v>
      </c>
      <c r="J18" s="33" t="s">
        <v>67</v>
      </c>
      <c r="K18" s="36" t="s">
        <v>78</v>
      </c>
      <c r="L18" s="37" t="s">
        <v>79</v>
      </c>
      <c r="M18" s="45" t="s">
        <v>36</v>
      </c>
      <c r="N18" s="100" t="s">
        <v>37</v>
      </c>
      <c r="O18" s="38" t="s">
        <v>72</v>
      </c>
      <c r="P18" s="38" t="s">
        <v>73</v>
      </c>
      <c r="Q18" s="43"/>
      <c r="R18" s="43"/>
      <c r="S18" s="45"/>
    </row>
    <row r="19" s="2" customFormat="1" ht="27" spans="1:19">
      <c r="A19" s="32" t="s">
        <v>62</v>
      </c>
      <c r="B19" s="32" t="s">
        <v>63</v>
      </c>
      <c r="C19" s="32" t="s">
        <v>64</v>
      </c>
      <c r="D19" s="88" t="s">
        <v>80</v>
      </c>
      <c r="E19" s="88" t="s">
        <v>81</v>
      </c>
      <c r="F19" s="88">
        <v>1</v>
      </c>
      <c r="G19" s="88">
        <v>2024.7</v>
      </c>
      <c r="H19" s="88">
        <v>19</v>
      </c>
      <c r="I19" s="88">
        <v>1</v>
      </c>
      <c r="J19" s="33" t="s">
        <v>67</v>
      </c>
      <c r="K19" s="36" t="s">
        <v>82</v>
      </c>
      <c r="L19" s="37" t="s">
        <v>83</v>
      </c>
      <c r="M19" s="43" t="s">
        <v>84</v>
      </c>
      <c r="N19" s="43" t="s">
        <v>84</v>
      </c>
      <c r="O19" s="38" t="s">
        <v>72</v>
      </c>
      <c r="P19" s="38" t="s">
        <v>73</v>
      </c>
      <c r="Q19" s="43"/>
      <c r="R19" s="43"/>
      <c r="S19" s="45"/>
    </row>
    <row r="20" s="2" customFormat="1" ht="27" hidden="1" spans="1:19">
      <c r="A20" s="32" t="s">
        <v>62</v>
      </c>
      <c r="B20" s="32" t="s">
        <v>63</v>
      </c>
      <c r="C20" s="32" t="s">
        <v>64</v>
      </c>
      <c r="D20" s="89" t="s">
        <v>85</v>
      </c>
      <c r="E20" s="89" t="s">
        <v>86</v>
      </c>
      <c r="F20" s="89">
        <v>1</v>
      </c>
      <c r="G20" s="89">
        <v>2025.3</v>
      </c>
      <c r="H20" s="89">
        <v>21</v>
      </c>
      <c r="I20" s="89">
        <v>1</v>
      </c>
      <c r="J20" s="33" t="s">
        <v>67</v>
      </c>
      <c r="K20" s="36" t="s">
        <v>87</v>
      </c>
      <c r="L20" s="37" t="s">
        <v>88</v>
      </c>
      <c r="M20" s="45" t="s">
        <v>36</v>
      </c>
      <c r="N20" s="100" t="s">
        <v>37</v>
      </c>
      <c r="O20" s="38" t="s">
        <v>72</v>
      </c>
      <c r="P20" s="38" t="s">
        <v>73</v>
      </c>
      <c r="Q20" s="43"/>
      <c r="R20" s="43"/>
      <c r="S20" s="45"/>
    </row>
    <row r="21" s="2" customFormat="1" ht="67.5" hidden="1" spans="1:19">
      <c r="A21" s="32" t="s">
        <v>62</v>
      </c>
      <c r="B21" s="32" t="s">
        <v>63</v>
      </c>
      <c r="C21" s="32" t="s">
        <v>64</v>
      </c>
      <c r="D21" s="90" t="s">
        <v>89</v>
      </c>
      <c r="E21" s="90" t="s">
        <v>90</v>
      </c>
      <c r="F21" s="89">
        <v>1</v>
      </c>
      <c r="G21" s="89">
        <v>2024.5</v>
      </c>
      <c r="H21" s="89">
        <v>13</v>
      </c>
      <c r="I21" s="89">
        <v>1</v>
      </c>
      <c r="J21" s="33" t="s">
        <v>67</v>
      </c>
      <c r="K21" s="36" t="s">
        <v>91</v>
      </c>
      <c r="L21" s="37" t="s">
        <v>92</v>
      </c>
      <c r="M21" s="45" t="s">
        <v>44</v>
      </c>
      <c r="N21" s="100" t="s">
        <v>45</v>
      </c>
      <c r="O21" s="38" t="s">
        <v>72</v>
      </c>
      <c r="P21" s="38" t="s">
        <v>73</v>
      </c>
      <c r="Q21" s="43"/>
      <c r="R21" s="44"/>
      <c r="S21" s="45"/>
    </row>
    <row r="22" s="2" customFormat="1" ht="27" hidden="1" spans="1:19">
      <c r="A22" s="32" t="s">
        <v>62</v>
      </c>
      <c r="B22" s="32" t="s">
        <v>63</v>
      </c>
      <c r="C22" s="32" t="s">
        <v>64</v>
      </c>
      <c r="D22" s="90" t="s">
        <v>93</v>
      </c>
      <c r="E22" s="90" t="s">
        <v>94</v>
      </c>
      <c r="F22" s="89">
        <v>4</v>
      </c>
      <c r="G22" s="89">
        <v>2025.4</v>
      </c>
      <c r="H22" s="89">
        <v>3</v>
      </c>
      <c r="I22" s="89">
        <v>4</v>
      </c>
      <c r="J22" s="33" t="s">
        <v>67</v>
      </c>
      <c r="K22" s="36" t="s">
        <v>95</v>
      </c>
      <c r="L22" s="37" t="s">
        <v>96</v>
      </c>
      <c r="M22" s="45" t="s">
        <v>97</v>
      </c>
      <c r="N22" s="100" t="s">
        <v>98</v>
      </c>
      <c r="O22" s="38" t="s">
        <v>72</v>
      </c>
      <c r="P22" s="38" t="s">
        <v>73</v>
      </c>
      <c r="Q22" s="43"/>
      <c r="R22" s="44"/>
      <c r="S22" s="45"/>
    </row>
    <row r="23" s="2" customFormat="1" ht="148.5" hidden="1" spans="1:19">
      <c r="A23" s="32" t="s">
        <v>62</v>
      </c>
      <c r="B23" s="32" t="s">
        <v>63</v>
      </c>
      <c r="C23" s="32" t="s">
        <v>64</v>
      </c>
      <c r="D23" s="33" t="s">
        <v>99</v>
      </c>
      <c r="E23" s="33" t="s">
        <v>100</v>
      </c>
      <c r="F23" s="33" t="s">
        <v>101</v>
      </c>
      <c r="G23" s="33">
        <v>2025.4</v>
      </c>
      <c r="H23" s="33">
        <v>8</v>
      </c>
      <c r="I23" s="33" t="s">
        <v>405</v>
      </c>
      <c r="J23" s="33" t="s">
        <v>67</v>
      </c>
      <c r="K23" s="36" t="s">
        <v>102</v>
      </c>
      <c r="L23" s="37" t="s">
        <v>103</v>
      </c>
      <c r="M23" s="153" t="s">
        <v>28</v>
      </c>
      <c r="N23" s="153" t="s">
        <v>29</v>
      </c>
      <c r="O23" s="38" t="s">
        <v>72</v>
      </c>
      <c r="P23" s="38" t="s">
        <v>73</v>
      </c>
      <c r="Q23" s="43"/>
      <c r="R23" s="44"/>
      <c r="S23" s="45"/>
    </row>
    <row r="24" s="2" customFormat="1" ht="54" hidden="1" spans="1:19">
      <c r="A24" s="32" t="s">
        <v>62</v>
      </c>
      <c r="B24" s="32" t="s">
        <v>63</v>
      </c>
      <c r="C24" s="32" t="s">
        <v>64</v>
      </c>
      <c r="D24" s="33" t="s">
        <v>99</v>
      </c>
      <c r="E24" s="33" t="s">
        <v>100</v>
      </c>
      <c r="F24" s="33" t="s">
        <v>101</v>
      </c>
      <c r="G24" s="33">
        <v>2025.4</v>
      </c>
      <c r="H24" s="33">
        <v>8</v>
      </c>
      <c r="I24" s="33" t="s">
        <v>101</v>
      </c>
      <c r="J24" s="33" t="s">
        <v>67</v>
      </c>
      <c r="K24" s="36" t="s">
        <v>104</v>
      </c>
      <c r="L24" s="37" t="s">
        <v>406</v>
      </c>
      <c r="M24" s="153" t="s">
        <v>70</v>
      </c>
      <c r="N24" s="153" t="s">
        <v>71</v>
      </c>
      <c r="O24" s="38" t="s">
        <v>72</v>
      </c>
      <c r="P24" s="38" t="s">
        <v>73</v>
      </c>
      <c r="Q24" s="43"/>
      <c r="R24" s="44"/>
      <c r="S24" s="45"/>
    </row>
    <row r="25" s="2" customFormat="1" ht="67.5" hidden="1" spans="1:19">
      <c r="A25" s="32" t="s">
        <v>62</v>
      </c>
      <c r="B25" s="32" t="s">
        <v>63</v>
      </c>
      <c r="C25" s="32" t="s">
        <v>64</v>
      </c>
      <c r="D25" s="33" t="s">
        <v>99</v>
      </c>
      <c r="E25" s="33" t="s">
        <v>100</v>
      </c>
      <c r="F25" s="33" t="s">
        <v>101</v>
      </c>
      <c r="G25" s="33">
        <v>2025.4</v>
      </c>
      <c r="H25" s="33">
        <v>8</v>
      </c>
      <c r="I25" s="33" t="s">
        <v>101</v>
      </c>
      <c r="J25" s="33" t="s">
        <v>67</v>
      </c>
      <c r="K25" s="36" t="s">
        <v>407</v>
      </c>
      <c r="L25" s="37" t="s">
        <v>408</v>
      </c>
      <c r="M25" s="37" t="s">
        <v>108</v>
      </c>
      <c r="N25" s="37" t="s">
        <v>109</v>
      </c>
      <c r="O25" s="38" t="s">
        <v>72</v>
      </c>
      <c r="P25" s="38" t="s">
        <v>73</v>
      </c>
      <c r="Q25" s="43"/>
      <c r="R25" s="44"/>
      <c r="S25" s="45"/>
    </row>
    <row r="26" s="2" customFormat="1" ht="81" hidden="1" spans="1:19">
      <c r="A26" s="32" t="s">
        <v>62</v>
      </c>
      <c r="B26" s="32" t="s">
        <v>63</v>
      </c>
      <c r="C26" s="32" t="s">
        <v>64</v>
      </c>
      <c r="D26" s="33" t="s">
        <v>99</v>
      </c>
      <c r="E26" s="33" t="s">
        <v>100</v>
      </c>
      <c r="F26" s="33" t="s">
        <v>101</v>
      </c>
      <c r="G26" s="33">
        <v>2025.4</v>
      </c>
      <c r="H26" s="33">
        <v>8</v>
      </c>
      <c r="I26" s="33" t="s">
        <v>101</v>
      </c>
      <c r="J26" s="33" t="s">
        <v>67</v>
      </c>
      <c r="K26" s="36" t="s">
        <v>409</v>
      </c>
      <c r="L26" s="37" t="s">
        <v>410</v>
      </c>
      <c r="M26" s="37" t="s">
        <v>108</v>
      </c>
      <c r="N26" s="37" t="s">
        <v>109</v>
      </c>
      <c r="O26" s="38" t="s">
        <v>72</v>
      </c>
      <c r="P26" s="38" t="s">
        <v>73</v>
      </c>
      <c r="Q26" s="43"/>
      <c r="R26" s="44"/>
      <c r="S26" s="45"/>
    </row>
    <row r="27" s="2" customFormat="1" ht="81" hidden="1" spans="1:19">
      <c r="A27" s="32" t="s">
        <v>62</v>
      </c>
      <c r="B27" s="32" t="s">
        <v>63</v>
      </c>
      <c r="C27" s="32" t="s">
        <v>64</v>
      </c>
      <c r="D27" s="33" t="s">
        <v>99</v>
      </c>
      <c r="E27" s="33" t="s">
        <v>100</v>
      </c>
      <c r="F27" s="33" t="s">
        <v>101</v>
      </c>
      <c r="G27" s="33">
        <v>2025.4</v>
      </c>
      <c r="H27" s="33">
        <v>8</v>
      </c>
      <c r="I27" s="33" t="s">
        <v>101</v>
      </c>
      <c r="J27" s="33" t="s">
        <v>67</v>
      </c>
      <c r="K27" s="36" t="s">
        <v>112</v>
      </c>
      <c r="L27" s="37" t="s">
        <v>113</v>
      </c>
      <c r="M27" s="37" t="s">
        <v>114</v>
      </c>
      <c r="N27" s="37" t="s">
        <v>115</v>
      </c>
      <c r="O27" s="38" t="s">
        <v>72</v>
      </c>
      <c r="P27" s="38" t="s">
        <v>73</v>
      </c>
      <c r="Q27" s="43"/>
      <c r="R27" s="44"/>
      <c r="S27" s="45"/>
    </row>
    <row r="28" s="2" customFormat="1" ht="54" hidden="1" spans="1:19">
      <c r="A28" s="32" t="s">
        <v>62</v>
      </c>
      <c r="B28" s="32" t="s">
        <v>63</v>
      </c>
      <c r="C28" s="32" t="s">
        <v>64</v>
      </c>
      <c r="D28" s="33" t="s">
        <v>99</v>
      </c>
      <c r="E28" s="33" t="s">
        <v>100</v>
      </c>
      <c r="F28" s="33" t="s">
        <v>101</v>
      </c>
      <c r="G28" s="33">
        <v>2025.4</v>
      </c>
      <c r="H28" s="33">
        <v>8</v>
      </c>
      <c r="I28" s="33" t="s">
        <v>101</v>
      </c>
      <c r="J28" s="33" t="s">
        <v>67</v>
      </c>
      <c r="K28" s="36" t="s">
        <v>411</v>
      </c>
      <c r="L28" s="37" t="s">
        <v>412</v>
      </c>
      <c r="M28" s="37" t="s">
        <v>118</v>
      </c>
      <c r="N28" s="37" t="s">
        <v>119</v>
      </c>
      <c r="O28" s="38" t="s">
        <v>72</v>
      </c>
      <c r="P28" s="38" t="s">
        <v>73</v>
      </c>
      <c r="Q28" s="43"/>
      <c r="R28" s="44"/>
      <c r="S28" s="45"/>
    </row>
    <row r="29" s="2" customFormat="1" ht="42.75" hidden="1" spans="1:19">
      <c r="A29" s="32" t="s">
        <v>62</v>
      </c>
      <c r="B29" s="32" t="s">
        <v>63</v>
      </c>
      <c r="C29" s="32" t="s">
        <v>64</v>
      </c>
      <c r="D29" s="33" t="s">
        <v>99</v>
      </c>
      <c r="E29" s="33" t="s">
        <v>100</v>
      </c>
      <c r="F29" s="33" t="s">
        <v>101</v>
      </c>
      <c r="G29" s="33">
        <v>2025.4</v>
      </c>
      <c r="H29" s="33">
        <v>8</v>
      </c>
      <c r="I29" s="33" t="s">
        <v>101</v>
      </c>
      <c r="J29" s="33" t="s">
        <v>67</v>
      </c>
      <c r="K29" s="36" t="s">
        <v>120</v>
      </c>
      <c r="L29" s="37" t="s">
        <v>121</v>
      </c>
      <c r="M29" s="37" t="s">
        <v>70</v>
      </c>
      <c r="N29" s="37" t="s">
        <v>122</v>
      </c>
      <c r="O29" s="38" t="s">
        <v>72</v>
      </c>
      <c r="P29" s="38" t="s">
        <v>73</v>
      </c>
      <c r="Q29" s="43"/>
      <c r="R29" s="44"/>
      <c r="S29" s="45"/>
    </row>
    <row r="30" s="2" customFormat="1" ht="42.75" hidden="1" spans="1:19">
      <c r="A30" s="32" t="s">
        <v>62</v>
      </c>
      <c r="B30" s="32" t="s">
        <v>63</v>
      </c>
      <c r="C30" s="32" t="s">
        <v>64</v>
      </c>
      <c r="D30" s="33" t="s">
        <v>99</v>
      </c>
      <c r="E30" s="33" t="s">
        <v>100</v>
      </c>
      <c r="F30" s="33" t="s">
        <v>101</v>
      </c>
      <c r="G30" s="33">
        <v>2025.4</v>
      </c>
      <c r="H30" s="33">
        <v>8</v>
      </c>
      <c r="I30" s="33" t="s">
        <v>101</v>
      </c>
      <c r="J30" s="33" t="s">
        <v>67</v>
      </c>
      <c r="K30" s="36" t="s">
        <v>123</v>
      </c>
      <c r="L30" s="37" t="s">
        <v>124</v>
      </c>
      <c r="M30" s="37" t="s">
        <v>125</v>
      </c>
      <c r="N30" s="37" t="s">
        <v>126</v>
      </c>
      <c r="O30" s="38" t="s">
        <v>72</v>
      </c>
      <c r="P30" s="38" t="s">
        <v>73</v>
      </c>
      <c r="Q30" s="43"/>
      <c r="R30" s="44"/>
      <c r="S30" s="45"/>
    </row>
    <row r="31" s="2" customFormat="1" ht="85.5" hidden="1" spans="1:19">
      <c r="A31" s="32" t="s">
        <v>62</v>
      </c>
      <c r="B31" s="32" t="s">
        <v>63</v>
      </c>
      <c r="C31" s="32" t="s">
        <v>64</v>
      </c>
      <c r="D31" s="33" t="s">
        <v>127</v>
      </c>
      <c r="E31" s="33" t="s">
        <v>128</v>
      </c>
      <c r="F31" s="33" t="s">
        <v>129</v>
      </c>
      <c r="G31" s="33">
        <v>2025.4</v>
      </c>
      <c r="H31" s="33">
        <v>14</v>
      </c>
      <c r="I31" s="33" t="s">
        <v>405</v>
      </c>
      <c r="J31" s="33" t="s">
        <v>67</v>
      </c>
      <c r="K31" s="36" t="s">
        <v>130</v>
      </c>
      <c r="L31" s="37" t="s">
        <v>131</v>
      </c>
      <c r="M31" s="37" t="s">
        <v>132</v>
      </c>
      <c r="N31" s="37" t="s">
        <v>133</v>
      </c>
      <c r="O31" s="38" t="s">
        <v>72</v>
      </c>
      <c r="P31" s="38" t="s">
        <v>73</v>
      </c>
      <c r="Q31" s="43"/>
      <c r="R31" s="44"/>
      <c r="S31" s="45"/>
    </row>
    <row r="32" s="2" customFormat="1" ht="85.5" hidden="1" spans="1:19">
      <c r="A32" s="32" t="s">
        <v>62</v>
      </c>
      <c r="B32" s="32" t="s">
        <v>63</v>
      </c>
      <c r="C32" s="32" t="s">
        <v>64</v>
      </c>
      <c r="D32" s="33" t="s">
        <v>127</v>
      </c>
      <c r="E32" s="33" t="s">
        <v>128</v>
      </c>
      <c r="F32" s="33" t="s">
        <v>129</v>
      </c>
      <c r="G32" s="33">
        <v>2025.4</v>
      </c>
      <c r="H32" s="33">
        <v>14</v>
      </c>
      <c r="I32" s="33" t="s">
        <v>129</v>
      </c>
      <c r="J32" s="33" t="s">
        <v>67</v>
      </c>
      <c r="K32" s="36" t="s">
        <v>134</v>
      </c>
      <c r="L32" s="37" t="s">
        <v>135</v>
      </c>
      <c r="M32" s="37"/>
      <c r="N32" s="37"/>
      <c r="O32" s="38" t="s">
        <v>72</v>
      </c>
      <c r="P32" s="38" t="s">
        <v>73</v>
      </c>
      <c r="Q32" s="43"/>
      <c r="R32" s="44"/>
      <c r="S32" s="45"/>
    </row>
    <row r="33" s="2" customFormat="1" ht="94.5" hidden="1" spans="1:19">
      <c r="A33" s="32" t="s">
        <v>62</v>
      </c>
      <c r="B33" s="32" t="s">
        <v>63</v>
      </c>
      <c r="C33" s="32" t="s">
        <v>64</v>
      </c>
      <c r="D33" s="33" t="s">
        <v>127</v>
      </c>
      <c r="E33" s="33" t="s">
        <v>128</v>
      </c>
      <c r="F33" s="33" t="s">
        <v>129</v>
      </c>
      <c r="G33" s="33">
        <v>2025.4</v>
      </c>
      <c r="H33" s="33">
        <v>14</v>
      </c>
      <c r="I33" s="33" t="s">
        <v>129</v>
      </c>
      <c r="J33" s="33" t="s">
        <v>67</v>
      </c>
      <c r="K33" s="36" t="s">
        <v>413</v>
      </c>
      <c r="L33" s="37" t="s">
        <v>414</v>
      </c>
      <c r="M33" s="37" t="s">
        <v>138</v>
      </c>
      <c r="N33" s="37" t="s">
        <v>139</v>
      </c>
      <c r="O33" s="38" t="s">
        <v>72</v>
      </c>
      <c r="P33" s="38" t="s">
        <v>73</v>
      </c>
      <c r="Q33" s="43"/>
      <c r="R33" s="44"/>
      <c r="S33" s="45"/>
    </row>
    <row r="34" s="2" customFormat="1" ht="85.5" hidden="1" spans="1:19">
      <c r="A34" s="32" t="s">
        <v>62</v>
      </c>
      <c r="B34" s="32" t="s">
        <v>63</v>
      </c>
      <c r="C34" s="32" t="s">
        <v>64</v>
      </c>
      <c r="D34" s="33" t="s">
        <v>127</v>
      </c>
      <c r="E34" s="33" t="s">
        <v>128</v>
      </c>
      <c r="F34" s="33" t="s">
        <v>129</v>
      </c>
      <c r="G34" s="33">
        <v>2025.4</v>
      </c>
      <c r="H34" s="33">
        <v>14</v>
      </c>
      <c r="I34" s="33" t="s">
        <v>129</v>
      </c>
      <c r="J34" s="33" t="s">
        <v>67</v>
      </c>
      <c r="K34" s="36" t="s">
        <v>140</v>
      </c>
      <c r="L34" s="37" t="s">
        <v>415</v>
      </c>
      <c r="M34" s="37" t="s">
        <v>132</v>
      </c>
      <c r="N34" s="37" t="s">
        <v>133</v>
      </c>
      <c r="O34" s="38" t="s">
        <v>72</v>
      </c>
      <c r="P34" s="38" t="s">
        <v>73</v>
      </c>
      <c r="Q34" s="43"/>
      <c r="R34" s="44"/>
      <c r="S34" s="45"/>
    </row>
    <row r="35" s="2" customFormat="1" ht="85.5" spans="1:19">
      <c r="A35" s="32" t="s">
        <v>62</v>
      </c>
      <c r="B35" s="32" t="s">
        <v>63</v>
      </c>
      <c r="C35" s="32" t="s">
        <v>64</v>
      </c>
      <c r="D35" s="33" t="s">
        <v>127</v>
      </c>
      <c r="E35" s="33" t="s">
        <v>128</v>
      </c>
      <c r="F35" s="33" t="s">
        <v>129</v>
      </c>
      <c r="G35" s="33">
        <v>2025.4</v>
      </c>
      <c r="H35" s="33">
        <v>14</v>
      </c>
      <c r="I35" s="33" t="s">
        <v>129</v>
      </c>
      <c r="J35" s="33" t="s">
        <v>67</v>
      </c>
      <c r="K35" s="36" t="s">
        <v>142</v>
      </c>
      <c r="L35" s="37" t="s">
        <v>143</v>
      </c>
      <c r="M35" s="37" t="s">
        <v>84</v>
      </c>
      <c r="N35" s="37" t="s">
        <v>84</v>
      </c>
      <c r="O35" s="38" t="s">
        <v>72</v>
      </c>
      <c r="P35" s="38" t="s">
        <v>73</v>
      </c>
      <c r="Q35" s="43"/>
      <c r="R35" s="44"/>
      <c r="S35" s="45"/>
    </row>
    <row r="36" s="2" customFormat="1" ht="85.5" hidden="1" spans="1:19">
      <c r="A36" s="32" t="s">
        <v>62</v>
      </c>
      <c r="B36" s="32" t="s">
        <v>63</v>
      </c>
      <c r="C36" s="32" t="s">
        <v>64</v>
      </c>
      <c r="D36" s="33" t="s">
        <v>127</v>
      </c>
      <c r="E36" s="33" t="s">
        <v>128</v>
      </c>
      <c r="F36" s="33" t="s">
        <v>129</v>
      </c>
      <c r="G36" s="33">
        <v>2025.4</v>
      </c>
      <c r="H36" s="33">
        <v>14</v>
      </c>
      <c r="I36" s="33" t="s">
        <v>129</v>
      </c>
      <c r="J36" s="33" t="s">
        <v>67</v>
      </c>
      <c r="K36" s="36" t="s">
        <v>416</v>
      </c>
      <c r="L36" s="37" t="s">
        <v>145</v>
      </c>
      <c r="M36" s="37" t="s">
        <v>28</v>
      </c>
      <c r="N36" s="37" t="s">
        <v>29</v>
      </c>
      <c r="O36" s="38" t="s">
        <v>72</v>
      </c>
      <c r="P36" s="38" t="s">
        <v>73</v>
      </c>
      <c r="Q36" s="43"/>
      <c r="R36" s="44"/>
      <c r="S36" s="45"/>
    </row>
    <row r="37" s="2" customFormat="1" ht="162" hidden="1" spans="1:19">
      <c r="A37" s="32" t="s">
        <v>62</v>
      </c>
      <c r="B37" s="32" t="s">
        <v>63</v>
      </c>
      <c r="C37" s="32" t="s">
        <v>64</v>
      </c>
      <c r="D37" s="33" t="s">
        <v>127</v>
      </c>
      <c r="E37" s="33" t="s">
        <v>128</v>
      </c>
      <c r="F37" s="33" t="s">
        <v>129</v>
      </c>
      <c r="G37" s="33">
        <v>2025.4</v>
      </c>
      <c r="H37" s="33">
        <v>14</v>
      </c>
      <c r="I37" s="33" t="s">
        <v>129</v>
      </c>
      <c r="J37" s="33" t="s">
        <v>67</v>
      </c>
      <c r="K37" s="36" t="s">
        <v>417</v>
      </c>
      <c r="L37" s="37" t="s">
        <v>418</v>
      </c>
      <c r="M37" s="37" t="s">
        <v>148</v>
      </c>
      <c r="N37" s="37" t="s">
        <v>148</v>
      </c>
      <c r="O37" s="38" t="s">
        <v>72</v>
      </c>
      <c r="P37" s="38" t="s">
        <v>73</v>
      </c>
      <c r="Q37" s="43"/>
      <c r="R37" s="44"/>
      <c r="S37" s="45"/>
    </row>
    <row r="38" s="2" customFormat="1" ht="27" hidden="1" spans="1:19">
      <c r="A38" s="161" t="s">
        <v>149</v>
      </c>
      <c r="B38" s="94" t="s">
        <v>21</v>
      </c>
      <c r="C38" s="94" t="s">
        <v>150</v>
      </c>
      <c r="D38" s="94" t="s">
        <v>151</v>
      </c>
      <c r="E38" s="94" t="s">
        <v>152</v>
      </c>
      <c r="F38" s="94">
        <v>4</v>
      </c>
      <c r="G38" s="94">
        <v>2024.12</v>
      </c>
      <c r="H38" s="94">
        <v>30</v>
      </c>
      <c r="I38" s="94">
        <v>4</v>
      </c>
      <c r="J38" s="115" t="s">
        <v>153</v>
      </c>
      <c r="K38" s="37" t="s">
        <v>154</v>
      </c>
      <c r="L38" s="37" t="s">
        <v>155</v>
      </c>
      <c r="M38" s="153" t="s">
        <v>70</v>
      </c>
      <c r="N38" s="153" t="s">
        <v>156</v>
      </c>
      <c r="O38" s="101" t="s">
        <v>72</v>
      </c>
      <c r="P38" s="101" t="s">
        <v>157</v>
      </c>
      <c r="Q38" s="43"/>
      <c r="R38" s="101"/>
      <c r="S38" s="45"/>
    </row>
    <row r="39" s="2" customFormat="1" ht="27" hidden="1" spans="1:19">
      <c r="A39" s="161" t="s">
        <v>149</v>
      </c>
      <c r="B39" s="94" t="s">
        <v>21</v>
      </c>
      <c r="C39" s="94" t="s">
        <v>150</v>
      </c>
      <c r="D39" s="94" t="s">
        <v>151</v>
      </c>
      <c r="E39" s="94" t="s">
        <v>152</v>
      </c>
      <c r="F39" s="94">
        <v>4</v>
      </c>
      <c r="G39" s="94">
        <v>2024.12</v>
      </c>
      <c r="H39" s="94">
        <v>30</v>
      </c>
      <c r="I39" s="94">
        <v>4</v>
      </c>
      <c r="J39" s="115" t="s">
        <v>153</v>
      </c>
      <c r="K39" s="37" t="s">
        <v>158</v>
      </c>
      <c r="L39" s="37" t="s">
        <v>159</v>
      </c>
      <c r="M39" s="153" t="s">
        <v>36</v>
      </c>
      <c r="N39" s="153" t="s">
        <v>160</v>
      </c>
      <c r="O39" s="101" t="s">
        <v>72</v>
      </c>
      <c r="P39" s="101" t="s">
        <v>157</v>
      </c>
      <c r="Q39" s="43"/>
      <c r="R39" s="101"/>
      <c r="S39" s="45"/>
    </row>
    <row r="40" s="2" customFormat="1" ht="27" hidden="1" spans="1:19">
      <c r="A40" s="161" t="s">
        <v>149</v>
      </c>
      <c r="B40" s="94" t="s">
        <v>21</v>
      </c>
      <c r="C40" s="94" t="s">
        <v>150</v>
      </c>
      <c r="D40" s="94" t="s">
        <v>151</v>
      </c>
      <c r="E40" s="94" t="s">
        <v>152</v>
      </c>
      <c r="F40" s="94">
        <v>4</v>
      </c>
      <c r="G40" s="94">
        <v>2024.12</v>
      </c>
      <c r="H40" s="94">
        <v>30</v>
      </c>
      <c r="I40" s="94">
        <v>4</v>
      </c>
      <c r="J40" s="115" t="s">
        <v>153</v>
      </c>
      <c r="K40" s="37" t="s">
        <v>161</v>
      </c>
      <c r="L40" s="37" t="s">
        <v>162</v>
      </c>
      <c r="M40" s="153" t="s">
        <v>36</v>
      </c>
      <c r="N40" s="153" t="s">
        <v>160</v>
      </c>
      <c r="O40" s="101" t="s">
        <v>72</v>
      </c>
      <c r="P40" s="101" t="s">
        <v>157</v>
      </c>
      <c r="Q40" s="43"/>
      <c r="R40" s="101"/>
      <c r="S40" s="45"/>
    </row>
    <row r="41" s="2" customFormat="1" ht="72" hidden="1" spans="1:19">
      <c r="A41" s="161" t="s">
        <v>149</v>
      </c>
      <c r="B41" s="27" t="s">
        <v>21</v>
      </c>
      <c r="C41" s="27" t="s">
        <v>163</v>
      </c>
      <c r="D41" s="15" t="s">
        <v>164</v>
      </c>
      <c r="E41" s="27" t="s">
        <v>165</v>
      </c>
      <c r="F41" s="27">
        <v>14</v>
      </c>
      <c r="G41" s="27">
        <v>2024.1</v>
      </c>
      <c r="H41" s="27">
        <v>2</v>
      </c>
      <c r="I41" s="27">
        <v>14</v>
      </c>
      <c r="J41" s="115" t="s">
        <v>153</v>
      </c>
      <c r="K41" s="162" t="s">
        <v>166</v>
      </c>
      <c r="L41" s="153" t="s">
        <v>167</v>
      </c>
      <c r="M41" s="153" t="s">
        <v>70</v>
      </c>
      <c r="N41" s="153" t="s">
        <v>168</v>
      </c>
      <c r="O41" s="100" t="s">
        <v>169</v>
      </c>
      <c r="P41" s="100" t="s">
        <v>169</v>
      </c>
      <c r="Q41" s="43"/>
      <c r="R41" s="43"/>
      <c r="S41" s="45"/>
    </row>
    <row r="42" s="82" customFormat="1" ht="27" hidden="1" spans="1:19">
      <c r="A42" s="33" t="s">
        <v>170</v>
      </c>
      <c r="B42" s="96" t="s">
        <v>63</v>
      </c>
      <c r="C42" s="96" t="s">
        <v>171</v>
      </c>
      <c r="D42" s="96" t="s">
        <v>172</v>
      </c>
      <c r="E42" s="96" t="s">
        <v>173</v>
      </c>
      <c r="F42" s="96">
        <v>2</v>
      </c>
      <c r="G42" s="96">
        <v>2025.3</v>
      </c>
      <c r="H42" s="96">
        <v>18</v>
      </c>
      <c r="I42" s="96">
        <v>2</v>
      </c>
      <c r="J42" s="115" t="s">
        <v>153</v>
      </c>
      <c r="K42" s="116" t="s">
        <v>174</v>
      </c>
      <c r="L42" s="116" t="s">
        <v>175</v>
      </c>
      <c r="M42" s="45" t="s">
        <v>28</v>
      </c>
      <c r="N42" s="45" t="s">
        <v>176</v>
      </c>
      <c r="O42" s="118" t="s">
        <v>72</v>
      </c>
      <c r="P42" s="118" t="s">
        <v>73</v>
      </c>
      <c r="Q42" s="43"/>
      <c r="R42" s="43"/>
      <c r="S42" s="45"/>
    </row>
    <row r="43" s="82" customFormat="1" ht="27" hidden="1" spans="1:19">
      <c r="A43" s="33" t="s">
        <v>170</v>
      </c>
      <c r="B43" s="96" t="s">
        <v>63</v>
      </c>
      <c r="C43" s="96" t="s">
        <v>171</v>
      </c>
      <c r="D43" s="96" t="s">
        <v>172</v>
      </c>
      <c r="E43" s="96" t="s">
        <v>173</v>
      </c>
      <c r="F43" s="96">
        <v>2</v>
      </c>
      <c r="G43" s="96">
        <v>2025.3</v>
      </c>
      <c r="H43" s="96">
        <v>18</v>
      </c>
      <c r="I43" s="96">
        <v>2</v>
      </c>
      <c r="J43" s="115" t="s">
        <v>153</v>
      </c>
      <c r="K43" s="116" t="s">
        <v>177</v>
      </c>
      <c r="L43" s="117" t="s">
        <v>178</v>
      </c>
      <c r="M43" s="117" t="s">
        <v>36</v>
      </c>
      <c r="N43" s="45" t="s">
        <v>160</v>
      </c>
      <c r="O43" s="118" t="s">
        <v>72</v>
      </c>
      <c r="P43" s="118" t="s">
        <v>73</v>
      </c>
      <c r="Q43" s="43"/>
      <c r="R43" s="43"/>
      <c r="S43" s="45"/>
    </row>
    <row r="44" s="82" customFormat="1" ht="40.5" hidden="1" spans="1:19">
      <c r="A44" s="33" t="s">
        <v>170</v>
      </c>
      <c r="B44" s="96" t="s">
        <v>63</v>
      </c>
      <c r="C44" s="96" t="s">
        <v>171</v>
      </c>
      <c r="D44" s="96" t="s">
        <v>172</v>
      </c>
      <c r="E44" s="96" t="s">
        <v>173</v>
      </c>
      <c r="F44" s="96">
        <v>2</v>
      </c>
      <c r="G44" s="96">
        <v>2025.3</v>
      </c>
      <c r="H44" s="96">
        <v>18</v>
      </c>
      <c r="I44" s="96">
        <v>2</v>
      </c>
      <c r="J44" s="115" t="s">
        <v>153</v>
      </c>
      <c r="K44" s="116" t="s">
        <v>179</v>
      </c>
      <c r="L44" s="116" t="s">
        <v>180</v>
      </c>
      <c r="M44" s="117" t="s">
        <v>36</v>
      </c>
      <c r="N44" s="45" t="s">
        <v>160</v>
      </c>
      <c r="O44" s="118" t="s">
        <v>72</v>
      </c>
      <c r="P44" s="118" t="s">
        <v>73</v>
      </c>
      <c r="Q44" s="43"/>
      <c r="R44" s="43"/>
      <c r="S44" s="45"/>
    </row>
    <row r="45" s="82" customFormat="1" ht="40.5" hidden="1" spans="1:19">
      <c r="A45" s="33" t="s">
        <v>170</v>
      </c>
      <c r="B45" s="96" t="s">
        <v>63</v>
      </c>
      <c r="C45" s="96" t="s">
        <v>171</v>
      </c>
      <c r="D45" s="96" t="s">
        <v>172</v>
      </c>
      <c r="E45" s="96" t="s">
        <v>173</v>
      </c>
      <c r="F45" s="96">
        <v>2</v>
      </c>
      <c r="G45" s="96">
        <v>2025.3</v>
      </c>
      <c r="H45" s="96">
        <v>18</v>
      </c>
      <c r="I45" s="96">
        <v>2</v>
      </c>
      <c r="J45" s="115" t="s">
        <v>153</v>
      </c>
      <c r="K45" s="116" t="s">
        <v>181</v>
      </c>
      <c r="L45" s="116" t="s">
        <v>182</v>
      </c>
      <c r="M45" s="117" t="s">
        <v>36</v>
      </c>
      <c r="N45" s="45" t="s">
        <v>160</v>
      </c>
      <c r="O45" s="118" t="s">
        <v>72</v>
      </c>
      <c r="P45" s="118" t="s">
        <v>73</v>
      </c>
      <c r="Q45" s="43"/>
      <c r="R45" s="43"/>
      <c r="S45" s="45"/>
    </row>
    <row r="46" s="82" customFormat="1" ht="40.5" hidden="1" spans="1:19">
      <c r="A46" s="33" t="s">
        <v>170</v>
      </c>
      <c r="B46" s="96" t="s">
        <v>63</v>
      </c>
      <c r="C46" s="96" t="s">
        <v>171</v>
      </c>
      <c r="D46" s="96" t="s">
        <v>172</v>
      </c>
      <c r="E46" s="96" t="s">
        <v>173</v>
      </c>
      <c r="F46" s="96">
        <v>2</v>
      </c>
      <c r="G46" s="96">
        <v>2025.3</v>
      </c>
      <c r="H46" s="96">
        <v>18</v>
      </c>
      <c r="I46" s="96">
        <v>2</v>
      </c>
      <c r="J46" s="115" t="s">
        <v>153</v>
      </c>
      <c r="K46" s="116" t="s">
        <v>183</v>
      </c>
      <c r="L46" s="116" t="s">
        <v>184</v>
      </c>
      <c r="M46" s="45" t="s">
        <v>44</v>
      </c>
      <c r="N46" s="45" t="s">
        <v>45</v>
      </c>
      <c r="O46" s="118" t="s">
        <v>72</v>
      </c>
      <c r="P46" s="118" t="s">
        <v>73</v>
      </c>
      <c r="Q46" s="43"/>
      <c r="R46" s="43"/>
      <c r="S46" s="45"/>
    </row>
    <row r="47" s="82" customFormat="1" ht="40.5" hidden="1" spans="1:19">
      <c r="A47" s="33" t="s">
        <v>170</v>
      </c>
      <c r="B47" s="96" t="s">
        <v>63</v>
      </c>
      <c r="C47" s="96" t="s">
        <v>171</v>
      </c>
      <c r="D47" s="96" t="s">
        <v>172</v>
      </c>
      <c r="E47" s="96" t="s">
        <v>173</v>
      </c>
      <c r="F47" s="96">
        <v>2</v>
      </c>
      <c r="G47" s="96">
        <v>2025.3</v>
      </c>
      <c r="H47" s="96">
        <v>18</v>
      </c>
      <c r="I47" s="96">
        <v>2</v>
      </c>
      <c r="J47" s="115" t="s">
        <v>153</v>
      </c>
      <c r="K47" s="116" t="s">
        <v>185</v>
      </c>
      <c r="L47" s="116" t="s">
        <v>186</v>
      </c>
      <c r="M47" s="45" t="s">
        <v>52</v>
      </c>
      <c r="N47" s="45" t="s">
        <v>187</v>
      </c>
      <c r="O47" s="118" t="s">
        <v>72</v>
      </c>
      <c r="P47" s="118" t="s">
        <v>73</v>
      </c>
      <c r="Q47" s="43"/>
      <c r="R47" s="43"/>
      <c r="S47" s="45"/>
    </row>
    <row r="48" s="82" customFormat="1" ht="14.25" hidden="1" spans="1:19">
      <c r="A48" s="33" t="s">
        <v>170</v>
      </c>
      <c r="B48" s="96" t="s">
        <v>63</v>
      </c>
      <c r="C48" s="96" t="s">
        <v>171</v>
      </c>
      <c r="D48" s="96" t="s">
        <v>172</v>
      </c>
      <c r="E48" s="96" t="s">
        <v>173</v>
      </c>
      <c r="F48" s="96">
        <v>2</v>
      </c>
      <c r="G48" s="96">
        <v>2025.3</v>
      </c>
      <c r="H48" s="96">
        <v>18</v>
      </c>
      <c r="I48" s="96">
        <v>2</v>
      </c>
      <c r="J48" s="115" t="s">
        <v>153</v>
      </c>
      <c r="K48" s="116" t="s">
        <v>188</v>
      </c>
      <c r="L48" s="116" t="s">
        <v>189</v>
      </c>
      <c r="M48" s="45" t="s">
        <v>44</v>
      </c>
      <c r="N48" s="45" t="s">
        <v>45</v>
      </c>
      <c r="O48" s="118" t="s">
        <v>72</v>
      </c>
      <c r="P48" s="118" t="s">
        <v>73</v>
      </c>
      <c r="Q48" s="43"/>
      <c r="R48" s="43"/>
      <c r="S48" s="45"/>
    </row>
    <row r="49" s="82" customFormat="1" ht="27" hidden="1" spans="1:19">
      <c r="A49" s="33" t="s">
        <v>170</v>
      </c>
      <c r="B49" s="96" t="s">
        <v>63</v>
      </c>
      <c r="C49" s="96" t="s">
        <v>171</v>
      </c>
      <c r="D49" s="96" t="s">
        <v>172</v>
      </c>
      <c r="E49" s="96" t="s">
        <v>173</v>
      </c>
      <c r="F49" s="96">
        <v>2</v>
      </c>
      <c r="G49" s="96">
        <v>2025.3</v>
      </c>
      <c r="H49" s="96">
        <v>18</v>
      </c>
      <c r="I49" s="96">
        <v>2</v>
      </c>
      <c r="J49" s="33" t="s">
        <v>153</v>
      </c>
      <c r="K49" s="127" t="s">
        <v>190</v>
      </c>
      <c r="L49" s="116" t="s">
        <v>191</v>
      </c>
      <c r="M49" s="117" t="s">
        <v>36</v>
      </c>
      <c r="N49" s="45" t="s">
        <v>160</v>
      </c>
      <c r="O49" s="118" t="s">
        <v>72</v>
      </c>
      <c r="P49" s="118" t="s">
        <v>73</v>
      </c>
      <c r="Q49" s="43"/>
      <c r="R49" s="43"/>
      <c r="S49" s="45"/>
    </row>
    <row r="50" s="82" customFormat="1" ht="40.5" hidden="1" spans="1:19">
      <c r="A50" s="115" t="s">
        <v>170</v>
      </c>
      <c r="B50" s="208" t="s">
        <v>63</v>
      </c>
      <c r="C50" s="208" t="s">
        <v>171</v>
      </c>
      <c r="D50" s="208" t="s">
        <v>172</v>
      </c>
      <c r="E50" s="208" t="s">
        <v>173</v>
      </c>
      <c r="F50" s="208">
        <v>2</v>
      </c>
      <c r="G50" s="208">
        <v>2025.3</v>
      </c>
      <c r="H50" s="208">
        <v>18</v>
      </c>
      <c r="I50" s="208">
        <v>2</v>
      </c>
      <c r="J50" s="115" t="s">
        <v>153</v>
      </c>
      <c r="K50" s="39" t="s">
        <v>192</v>
      </c>
      <c r="L50" s="148" t="s">
        <v>193</v>
      </c>
      <c r="M50" s="45" t="s">
        <v>44</v>
      </c>
      <c r="N50" s="45" t="s">
        <v>45</v>
      </c>
      <c r="O50" s="118" t="s">
        <v>72</v>
      </c>
      <c r="P50" s="118" t="s">
        <v>73</v>
      </c>
      <c r="Q50" s="43"/>
      <c r="R50" s="43"/>
      <c r="S50" s="45"/>
    </row>
    <row r="51" s="82" customFormat="1" ht="40.5" hidden="1" spans="1:19">
      <c r="A51" s="115" t="s">
        <v>170</v>
      </c>
      <c r="B51" s="208" t="s">
        <v>63</v>
      </c>
      <c r="C51" s="208" t="s">
        <v>171</v>
      </c>
      <c r="D51" s="208" t="s">
        <v>194</v>
      </c>
      <c r="E51" s="208" t="s">
        <v>195</v>
      </c>
      <c r="F51" s="208">
        <v>3</v>
      </c>
      <c r="G51" s="208">
        <v>2025.4</v>
      </c>
      <c r="H51" s="208">
        <v>9</v>
      </c>
      <c r="I51" s="208">
        <v>3</v>
      </c>
      <c r="J51" s="115" t="s">
        <v>153</v>
      </c>
      <c r="K51" s="39" t="s">
        <v>196</v>
      </c>
      <c r="L51" s="148" t="s">
        <v>197</v>
      </c>
      <c r="M51" s="117" t="s">
        <v>36</v>
      </c>
      <c r="N51" s="45" t="s">
        <v>160</v>
      </c>
      <c r="O51" s="118" t="s">
        <v>72</v>
      </c>
      <c r="P51" s="118" t="s">
        <v>73</v>
      </c>
      <c r="Q51" s="43"/>
      <c r="R51" s="43"/>
      <c r="S51" s="45"/>
    </row>
    <row r="52" s="82" customFormat="1" ht="27" hidden="1" spans="1:19">
      <c r="A52" s="115" t="s">
        <v>170</v>
      </c>
      <c r="B52" s="208" t="s">
        <v>63</v>
      </c>
      <c r="C52" s="208" t="s">
        <v>171</v>
      </c>
      <c r="D52" s="208" t="s">
        <v>194</v>
      </c>
      <c r="E52" s="208" t="s">
        <v>195</v>
      </c>
      <c r="F52" s="208">
        <v>3</v>
      </c>
      <c r="G52" s="208">
        <v>2025.4</v>
      </c>
      <c r="H52" s="208">
        <v>9</v>
      </c>
      <c r="I52" s="208">
        <v>3</v>
      </c>
      <c r="J52" s="115" t="s">
        <v>153</v>
      </c>
      <c r="K52" s="39" t="s">
        <v>198</v>
      </c>
      <c r="L52" s="148" t="s">
        <v>199</v>
      </c>
      <c r="M52" s="117" t="s">
        <v>36</v>
      </c>
      <c r="N52" s="45" t="s">
        <v>160</v>
      </c>
      <c r="O52" s="118" t="s">
        <v>72</v>
      </c>
      <c r="P52" s="118" t="s">
        <v>73</v>
      </c>
      <c r="Q52" s="43"/>
      <c r="R52" s="43"/>
      <c r="S52" s="45"/>
    </row>
    <row r="53" s="82" customFormat="1" ht="27" hidden="1" spans="1:19">
      <c r="A53" s="115" t="s">
        <v>170</v>
      </c>
      <c r="B53" s="208" t="s">
        <v>63</v>
      </c>
      <c r="C53" s="208" t="s">
        <v>171</v>
      </c>
      <c r="D53" s="208" t="s">
        <v>194</v>
      </c>
      <c r="E53" s="208" t="s">
        <v>195</v>
      </c>
      <c r="F53" s="208">
        <v>3</v>
      </c>
      <c r="G53" s="208">
        <v>2025.4</v>
      </c>
      <c r="H53" s="208">
        <v>9</v>
      </c>
      <c r="I53" s="208">
        <v>3</v>
      </c>
      <c r="J53" s="115" t="s">
        <v>153</v>
      </c>
      <c r="K53" s="39" t="s">
        <v>200</v>
      </c>
      <c r="L53" s="148" t="s">
        <v>201</v>
      </c>
      <c r="M53" s="117" t="s">
        <v>36</v>
      </c>
      <c r="N53" s="45" t="s">
        <v>160</v>
      </c>
      <c r="O53" s="118" t="s">
        <v>72</v>
      </c>
      <c r="P53" s="118" t="s">
        <v>73</v>
      </c>
      <c r="Q53" s="43"/>
      <c r="R53" s="43"/>
      <c r="S53" s="45"/>
    </row>
    <row r="54" s="82" customFormat="1" ht="14.25" hidden="1" spans="1:19">
      <c r="A54" s="115" t="s">
        <v>170</v>
      </c>
      <c r="B54" s="208" t="s">
        <v>63</v>
      </c>
      <c r="C54" s="208" t="s">
        <v>171</v>
      </c>
      <c r="D54" s="208" t="s">
        <v>194</v>
      </c>
      <c r="E54" s="208" t="s">
        <v>195</v>
      </c>
      <c r="F54" s="208">
        <v>3</v>
      </c>
      <c r="G54" s="208">
        <v>2025.4</v>
      </c>
      <c r="H54" s="208">
        <v>9</v>
      </c>
      <c r="I54" s="208">
        <v>3</v>
      </c>
      <c r="J54" s="115" t="s">
        <v>153</v>
      </c>
      <c r="K54" s="39" t="s">
        <v>202</v>
      </c>
      <c r="L54" s="148" t="s">
        <v>203</v>
      </c>
      <c r="M54" s="45" t="s">
        <v>44</v>
      </c>
      <c r="N54" s="45" t="s">
        <v>45</v>
      </c>
      <c r="O54" s="118" t="s">
        <v>72</v>
      </c>
      <c r="P54" s="118" t="s">
        <v>73</v>
      </c>
      <c r="Q54" s="43"/>
      <c r="R54" s="43"/>
      <c r="S54" s="45"/>
    </row>
    <row r="55" s="82" customFormat="1" ht="27" hidden="1" spans="1:19">
      <c r="A55" s="115" t="s">
        <v>170</v>
      </c>
      <c r="B55" s="208" t="s">
        <v>63</v>
      </c>
      <c r="C55" s="208" t="s">
        <v>171</v>
      </c>
      <c r="D55" s="208" t="s">
        <v>194</v>
      </c>
      <c r="E55" s="208" t="s">
        <v>195</v>
      </c>
      <c r="F55" s="208">
        <v>3</v>
      </c>
      <c r="G55" s="208">
        <v>2025.4</v>
      </c>
      <c r="H55" s="208">
        <v>9</v>
      </c>
      <c r="I55" s="208">
        <v>3</v>
      </c>
      <c r="J55" s="115" t="s">
        <v>153</v>
      </c>
      <c r="K55" s="39" t="s">
        <v>204</v>
      </c>
      <c r="L55" s="148" t="s">
        <v>205</v>
      </c>
      <c r="M55" s="45" t="s">
        <v>44</v>
      </c>
      <c r="N55" s="45" t="s">
        <v>45</v>
      </c>
      <c r="O55" s="118" t="s">
        <v>72</v>
      </c>
      <c r="P55" s="118" t="s">
        <v>73</v>
      </c>
      <c r="Q55" s="43"/>
      <c r="R55" s="43"/>
      <c r="S55" s="45"/>
    </row>
    <row r="56" s="82" customFormat="1" ht="14.25" hidden="1" spans="1:19">
      <c r="A56" s="115" t="s">
        <v>170</v>
      </c>
      <c r="B56" s="115" t="s">
        <v>63</v>
      </c>
      <c r="C56" s="115" t="s">
        <v>171</v>
      </c>
      <c r="D56" s="115" t="s">
        <v>206</v>
      </c>
      <c r="E56" s="115" t="s">
        <v>207</v>
      </c>
      <c r="F56" s="115">
        <v>2</v>
      </c>
      <c r="G56" s="115">
        <v>2025.4</v>
      </c>
      <c r="H56" s="115">
        <v>18</v>
      </c>
      <c r="I56" s="115">
        <v>2</v>
      </c>
      <c r="J56" s="115" t="s">
        <v>153</v>
      </c>
      <c r="K56" s="39" t="s">
        <v>208</v>
      </c>
      <c r="L56" s="210"/>
      <c r="M56" s="117" t="s">
        <v>36</v>
      </c>
      <c r="N56" s="45" t="s">
        <v>160</v>
      </c>
      <c r="O56" s="118" t="s">
        <v>72</v>
      </c>
      <c r="P56" s="118" t="s">
        <v>73</v>
      </c>
      <c r="Q56" s="43"/>
      <c r="R56" s="43"/>
      <c r="S56" s="45"/>
    </row>
    <row r="57" s="82" customFormat="1" ht="27" hidden="1" spans="1:19">
      <c r="A57" s="115" t="s">
        <v>170</v>
      </c>
      <c r="B57" s="115" t="s">
        <v>63</v>
      </c>
      <c r="C57" s="115" t="s">
        <v>171</v>
      </c>
      <c r="D57" s="115" t="s">
        <v>206</v>
      </c>
      <c r="E57" s="115" t="s">
        <v>207</v>
      </c>
      <c r="F57" s="115">
        <v>2</v>
      </c>
      <c r="G57" s="115">
        <v>2025.4</v>
      </c>
      <c r="H57" s="115">
        <v>18</v>
      </c>
      <c r="I57" s="115">
        <v>2</v>
      </c>
      <c r="J57" s="115" t="s">
        <v>153</v>
      </c>
      <c r="K57" s="39" t="s">
        <v>209</v>
      </c>
      <c r="L57" s="148" t="s">
        <v>210</v>
      </c>
      <c r="M57" s="45" t="s">
        <v>52</v>
      </c>
      <c r="N57" s="45" t="s">
        <v>187</v>
      </c>
      <c r="O57" s="118" t="s">
        <v>72</v>
      </c>
      <c r="P57" s="118" t="s">
        <v>73</v>
      </c>
      <c r="Q57" s="43"/>
      <c r="R57" s="43"/>
      <c r="S57" s="45"/>
    </row>
    <row r="58" s="82" customFormat="1" ht="27" hidden="1" spans="1:19">
      <c r="A58" s="115" t="s">
        <v>170</v>
      </c>
      <c r="B58" s="115" t="s">
        <v>63</v>
      </c>
      <c r="C58" s="115" t="s">
        <v>171</v>
      </c>
      <c r="D58" s="115" t="s">
        <v>206</v>
      </c>
      <c r="E58" s="115" t="s">
        <v>207</v>
      </c>
      <c r="F58" s="115">
        <v>2</v>
      </c>
      <c r="G58" s="115">
        <v>2025.4</v>
      </c>
      <c r="H58" s="115">
        <v>18</v>
      </c>
      <c r="I58" s="115">
        <v>2</v>
      </c>
      <c r="J58" s="115" t="s">
        <v>153</v>
      </c>
      <c r="K58" s="39" t="s">
        <v>211</v>
      </c>
      <c r="L58" s="148" t="s">
        <v>212</v>
      </c>
      <c r="M58" s="45" t="s">
        <v>52</v>
      </c>
      <c r="N58" s="45" t="s">
        <v>187</v>
      </c>
      <c r="O58" s="118" t="s">
        <v>72</v>
      </c>
      <c r="P58" s="118" t="s">
        <v>73</v>
      </c>
      <c r="Q58" s="43"/>
      <c r="R58" s="43"/>
      <c r="S58" s="45"/>
    </row>
    <row r="59" s="82" customFormat="1" ht="27" hidden="1" spans="1:19">
      <c r="A59" s="115" t="s">
        <v>170</v>
      </c>
      <c r="B59" s="115" t="s">
        <v>63</v>
      </c>
      <c r="C59" s="115" t="s">
        <v>171</v>
      </c>
      <c r="D59" s="115" t="s">
        <v>206</v>
      </c>
      <c r="E59" s="115" t="s">
        <v>207</v>
      </c>
      <c r="F59" s="115">
        <v>2</v>
      </c>
      <c r="G59" s="115">
        <v>2025.4</v>
      </c>
      <c r="H59" s="115">
        <v>18</v>
      </c>
      <c r="I59" s="115">
        <v>2</v>
      </c>
      <c r="J59" s="115" t="s">
        <v>153</v>
      </c>
      <c r="K59" s="39" t="s">
        <v>213</v>
      </c>
      <c r="L59" s="148" t="s">
        <v>214</v>
      </c>
      <c r="M59" s="45" t="s">
        <v>52</v>
      </c>
      <c r="N59" s="45" t="s">
        <v>187</v>
      </c>
      <c r="O59" s="118" t="s">
        <v>72</v>
      </c>
      <c r="P59" s="118" t="s">
        <v>73</v>
      </c>
      <c r="Q59" s="43"/>
      <c r="R59" s="43"/>
      <c r="S59" s="45"/>
    </row>
    <row r="60" s="82" customFormat="1" ht="27" hidden="1" spans="1:19">
      <c r="A60" s="115" t="s">
        <v>170</v>
      </c>
      <c r="B60" s="115" t="s">
        <v>63</v>
      </c>
      <c r="C60" s="115" t="s">
        <v>171</v>
      </c>
      <c r="D60" s="115" t="s">
        <v>206</v>
      </c>
      <c r="E60" s="115" t="s">
        <v>207</v>
      </c>
      <c r="F60" s="115">
        <v>2</v>
      </c>
      <c r="G60" s="115">
        <v>2025.4</v>
      </c>
      <c r="H60" s="115">
        <v>18</v>
      </c>
      <c r="I60" s="115">
        <v>2</v>
      </c>
      <c r="J60" s="115" t="s">
        <v>153</v>
      </c>
      <c r="K60" s="39" t="s">
        <v>215</v>
      </c>
      <c r="L60" s="148" t="s">
        <v>216</v>
      </c>
      <c r="M60" s="117" t="s">
        <v>36</v>
      </c>
      <c r="N60" s="45" t="s">
        <v>160</v>
      </c>
      <c r="O60" s="118" t="s">
        <v>72</v>
      </c>
      <c r="P60" s="118" t="s">
        <v>73</v>
      </c>
      <c r="Q60" s="43"/>
      <c r="R60" s="43"/>
      <c r="S60" s="45"/>
    </row>
    <row r="61" s="83" customFormat="1" ht="28.5" hidden="1" spans="1:19">
      <c r="A61" s="209" t="s">
        <v>217</v>
      </c>
      <c r="B61" s="209" t="s">
        <v>21</v>
      </c>
      <c r="C61" s="209" t="s">
        <v>218</v>
      </c>
      <c r="D61" s="209" t="s">
        <v>219</v>
      </c>
      <c r="E61" s="209" t="s">
        <v>220</v>
      </c>
      <c r="F61" s="209">
        <v>8</v>
      </c>
      <c r="G61" s="209" t="s">
        <v>221</v>
      </c>
      <c r="H61" s="209">
        <v>31</v>
      </c>
      <c r="I61" s="209">
        <v>8</v>
      </c>
      <c r="J61" s="209" t="s">
        <v>25</v>
      </c>
      <c r="K61" s="133" t="s">
        <v>222</v>
      </c>
      <c r="L61" s="121"/>
      <c r="M61" s="122"/>
      <c r="N61" s="122"/>
      <c r="O61" s="123"/>
      <c r="P61" s="124"/>
      <c r="Q61" s="26"/>
      <c r="R61" s="26"/>
      <c r="S61" s="27"/>
    </row>
    <row r="62" s="2" customFormat="1" ht="27" hidden="1" spans="1:19">
      <c r="A62" s="85" t="s">
        <v>223</v>
      </c>
      <c r="B62" s="45" t="s">
        <v>21</v>
      </c>
      <c r="C62" s="45" t="s">
        <v>224</v>
      </c>
      <c r="D62" s="45" t="s">
        <v>225</v>
      </c>
      <c r="E62" s="45" t="s">
        <v>226</v>
      </c>
      <c r="F62" s="45">
        <v>3</v>
      </c>
      <c r="G62" s="45" t="s">
        <v>227</v>
      </c>
      <c r="H62" s="45">
        <v>13</v>
      </c>
      <c r="I62" s="45">
        <v>3</v>
      </c>
      <c r="J62" s="41" t="s">
        <v>153</v>
      </c>
      <c r="K62" s="39" t="s">
        <v>228</v>
      </c>
      <c r="L62" s="148" t="s">
        <v>229</v>
      </c>
      <c r="M62" s="116" t="s">
        <v>230</v>
      </c>
      <c r="N62" s="116" t="s">
        <v>231</v>
      </c>
      <c r="O62" s="126" t="s">
        <v>72</v>
      </c>
      <c r="P62" s="126" t="s">
        <v>73</v>
      </c>
      <c r="Q62" s="43"/>
      <c r="R62" s="43"/>
      <c r="S62" s="45"/>
    </row>
    <row r="63" s="2" customFormat="1" ht="27" hidden="1" spans="1:19">
      <c r="A63" s="85" t="s">
        <v>223</v>
      </c>
      <c r="B63" s="45"/>
      <c r="C63" s="45"/>
      <c r="D63" s="45"/>
      <c r="E63" s="45"/>
      <c r="F63" s="45"/>
      <c r="G63" s="45"/>
      <c r="H63" s="45"/>
      <c r="I63" s="45"/>
      <c r="J63" s="41" t="s">
        <v>153</v>
      </c>
      <c r="K63" s="39" t="s">
        <v>232</v>
      </c>
      <c r="L63" s="148" t="s">
        <v>233</v>
      </c>
      <c r="M63" s="116" t="s">
        <v>28</v>
      </c>
      <c r="N63" s="116" t="s">
        <v>29</v>
      </c>
      <c r="O63" s="126" t="s">
        <v>72</v>
      </c>
      <c r="P63" s="126" t="s">
        <v>73</v>
      </c>
      <c r="Q63" s="43"/>
      <c r="R63" s="43"/>
      <c r="S63" s="45"/>
    </row>
    <row r="64" s="2" customFormat="1" ht="27" hidden="1" spans="1:19">
      <c r="A64" s="85" t="s">
        <v>223</v>
      </c>
      <c r="B64" s="85" t="s">
        <v>63</v>
      </c>
      <c r="C64" s="85" t="s">
        <v>234</v>
      </c>
      <c r="D64" s="85" t="s">
        <v>235</v>
      </c>
      <c r="E64" s="85" t="s">
        <v>236</v>
      </c>
      <c r="F64" s="85">
        <v>1</v>
      </c>
      <c r="G64" s="85">
        <v>2023.12</v>
      </c>
      <c r="H64" s="85">
        <v>5</v>
      </c>
      <c r="I64" s="85">
        <v>1</v>
      </c>
      <c r="J64" s="41" t="s">
        <v>153</v>
      </c>
      <c r="K64" s="39" t="s">
        <v>237</v>
      </c>
      <c r="L64" s="148" t="s">
        <v>238</v>
      </c>
      <c r="M64" s="116" t="s">
        <v>70</v>
      </c>
      <c r="N64" s="116" t="s">
        <v>71</v>
      </c>
      <c r="O64" s="126" t="s">
        <v>72</v>
      </c>
      <c r="P64" s="126" t="s">
        <v>73</v>
      </c>
      <c r="Q64" s="43"/>
      <c r="R64" s="43"/>
      <c r="S64" s="45"/>
    </row>
    <row r="65" s="2" customFormat="1" ht="54" hidden="1" spans="1:19">
      <c r="A65" s="85" t="s">
        <v>223</v>
      </c>
      <c r="B65" s="85" t="s">
        <v>63</v>
      </c>
      <c r="C65" s="85" t="s">
        <v>234</v>
      </c>
      <c r="D65" s="85" t="s">
        <v>239</v>
      </c>
      <c r="E65" s="85" t="s">
        <v>240</v>
      </c>
      <c r="F65" s="85">
        <v>3</v>
      </c>
      <c r="G65" s="85">
        <v>2024.12</v>
      </c>
      <c r="H65" s="85">
        <v>11</v>
      </c>
      <c r="I65" s="85">
        <v>3</v>
      </c>
      <c r="J65" s="41" t="s">
        <v>153</v>
      </c>
      <c r="K65" s="39" t="s">
        <v>419</v>
      </c>
      <c r="L65" s="148" t="s">
        <v>420</v>
      </c>
      <c r="M65" s="116" t="s">
        <v>70</v>
      </c>
      <c r="N65" s="116" t="s">
        <v>71</v>
      </c>
      <c r="O65" s="126" t="s">
        <v>72</v>
      </c>
      <c r="P65" s="126" t="s">
        <v>73</v>
      </c>
      <c r="Q65" s="43"/>
      <c r="R65" s="43"/>
      <c r="S65" s="45"/>
    </row>
    <row r="66" s="2" customFormat="1" ht="81" hidden="1" spans="1:19">
      <c r="A66" s="85" t="s">
        <v>223</v>
      </c>
      <c r="B66" s="85" t="s">
        <v>63</v>
      </c>
      <c r="C66" s="85" t="s">
        <v>234</v>
      </c>
      <c r="D66" s="85" t="s">
        <v>239</v>
      </c>
      <c r="E66" s="85" t="s">
        <v>240</v>
      </c>
      <c r="F66" s="85">
        <v>3</v>
      </c>
      <c r="G66" s="85">
        <v>2024.12</v>
      </c>
      <c r="H66" s="85">
        <v>11</v>
      </c>
      <c r="I66" s="85">
        <v>3</v>
      </c>
      <c r="J66" s="41" t="s">
        <v>153</v>
      </c>
      <c r="K66" s="39" t="s">
        <v>421</v>
      </c>
      <c r="L66" s="148" t="s">
        <v>422</v>
      </c>
      <c r="M66" s="116" t="s">
        <v>245</v>
      </c>
      <c r="N66" s="116" t="s">
        <v>246</v>
      </c>
      <c r="O66" s="126" t="s">
        <v>72</v>
      </c>
      <c r="P66" s="126" t="s">
        <v>73</v>
      </c>
      <c r="Q66" s="43"/>
      <c r="R66" s="43"/>
      <c r="S66" s="45"/>
    </row>
    <row r="67" s="2" customFormat="1" ht="27" hidden="1" spans="1:19">
      <c r="A67" s="85" t="s">
        <v>223</v>
      </c>
      <c r="B67" s="85" t="s">
        <v>63</v>
      </c>
      <c r="C67" s="85" t="s">
        <v>234</v>
      </c>
      <c r="D67" s="85" t="s">
        <v>239</v>
      </c>
      <c r="E67" s="85" t="s">
        <v>240</v>
      </c>
      <c r="F67" s="85">
        <v>3</v>
      </c>
      <c r="G67" s="85">
        <v>2024.12</v>
      </c>
      <c r="H67" s="85">
        <v>11</v>
      </c>
      <c r="I67" s="85">
        <v>3</v>
      </c>
      <c r="J67" s="41" t="s">
        <v>153</v>
      </c>
      <c r="K67" s="39" t="s">
        <v>247</v>
      </c>
      <c r="L67" s="148" t="s">
        <v>248</v>
      </c>
      <c r="M67" s="116" t="s">
        <v>245</v>
      </c>
      <c r="N67" s="116" t="s">
        <v>246</v>
      </c>
      <c r="O67" s="126" t="s">
        <v>72</v>
      </c>
      <c r="P67" s="126" t="s">
        <v>73</v>
      </c>
      <c r="Q67" s="43"/>
      <c r="R67" s="43"/>
      <c r="S67" s="45"/>
    </row>
    <row r="68" s="2" customFormat="1" ht="27" hidden="1" spans="1:19">
      <c r="A68" s="85" t="s">
        <v>223</v>
      </c>
      <c r="B68" s="85" t="s">
        <v>63</v>
      </c>
      <c r="C68" s="85" t="s">
        <v>234</v>
      </c>
      <c r="D68" s="85" t="s">
        <v>239</v>
      </c>
      <c r="E68" s="85" t="s">
        <v>240</v>
      </c>
      <c r="F68" s="85">
        <v>3</v>
      </c>
      <c r="G68" s="85">
        <v>2024.12</v>
      </c>
      <c r="H68" s="85">
        <v>11</v>
      </c>
      <c r="I68" s="85">
        <v>3</v>
      </c>
      <c r="J68" s="41" t="s">
        <v>153</v>
      </c>
      <c r="K68" s="39" t="s">
        <v>247</v>
      </c>
      <c r="L68" s="148" t="s">
        <v>248</v>
      </c>
      <c r="M68" s="116" t="s">
        <v>245</v>
      </c>
      <c r="N68" s="116" t="s">
        <v>246</v>
      </c>
      <c r="O68" s="126" t="s">
        <v>72</v>
      </c>
      <c r="P68" s="126" t="s">
        <v>73</v>
      </c>
      <c r="Q68" s="43"/>
      <c r="R68" s="43"/>
      <c r="S68" s="45"/>
    </row>
    <row r="69" s="2" customFormat="1" ht="54" hidden="1" spans="1:19">
      <c r="A69" s="85" t="s">
        <v>223</v>
      </c>
      <c r="B69" s="85" t="s">
        <v>63</v>
      </c>
      <c r="C69" s="85" t="s">
        <v>234</v>
      </c>
      <c r="D69" s="85" t="s">
        <v>249</v>
      </c>
      <c r="E69" s="14" t="s">
        <v>250</v>
      </c>
      <c r="F69" s="85">
        <v>1</v>
      </c>
      <c r="G69" s="85">
        <v>2025.2</v>
      </c>
      <c r="H69" s="85">
        <v>28</v>
      </c>
      <c r="I69" s="85">
        <v>1</v>
      </c>
      <c r="J69" s="41" t="s">
        <v>153</v>
      </c>
      <c r="K69" s="39" t="s">
        <v>251</v>
      </c>
      <c r="L69" s="148" t="s">
        <v>252</v>
      </c>
      <c r="M69" s="116" t="s">
        <v>245</v>
      </c>
      <c r="N69" s="116" t="s">
        <v>253</v>
      </c>
      <c r="O69" s="126" t="s">
        <v>72</v>
      </c>
      <c r="P69" s="126" t="s">
        <v>73</v>
      </c>
      <c r="Q69" s="43"/>
      <c r="R69" s="43"/>
      <c r="S69" s="45"/>
    </row>
    <row r="70" s="2" customFormat="1" ht="27" hidden="1" spans="1:19">
      <c r="A70" s="85" t="s">
        <v>254</v>
      </c>
      <c r="B70" s="85" t="s">
        <v>21</v>
      </c>
      <c r="C70" s="85" t="s">
        <v>255</v>
      </c>
      <c r="D70" s="85" t="s">
        <v>256</v>
      </c>
      <c r="E70" s="85" t="s">
        <v>257</v>
      </c>
      <c r="F70" s="85">
        <v>1</v>
      </c>
      <c r="G70" s="85">
        <v>2024.1</v>
      </c>
      <c r="H70" s="85">
        <v>25</v>
      </c>
      <c r="I70" s="85">
        <v>1</v>
      </c>
      <c r="J70" s="85" t="s">
        <v>25</v>
      </c>
      <c r="K70" s="39" t="s">
        <v>258</v>
      </c>
      <c r="L70" s="148" t="s">
        <v>259</v>
      </c>
      <c r="M70" s="117" t="s">
        <v>132</v>
      </c>
      <c r="N70" s="137" t="s">
        <v>260</v>
      </c>
      <c r="O70" s="41" t="s">
        <v>72</v>
      </c>
      <c r="P70" s="41" t="s">
        <v>73</v>
      </c>
      <c r="Q70" s="43"/>
      <c r="R70" s="43"/>
      <c r="S70" s="45"/>
    </row>
    <row r="71" s="2" customFormat="1" ht="27" hidden="1" spans="1:19">
      <c r="A71" s="85" t="s">
        <v>254</v>
      </c>
      <c r="B71" s="85" t="s">
        <v>21</v>
      </c>
      <c r="C71" s="85" t="s">
        <v>255</v>
      </c>
      <c r="D71" s="85" t="s">
        <v>256</v>
      </c>
      <c r="E71" s="85" t="s">
        <v>257</v>
      </c>
      <c r="F71" s="85">
        <v>1</v>
      </c>
      <c r="G71" s="85">
        <v>2024.1</v>
      </c>
      <c r="H71" s="85">
        <v>25</v>
      </c>
      <c r="I71" s="85">
        <v>1</v>
      </c>
      <c r="J71" s="85" t="s">
        <v>25</v>
      </c>
      <c r="K71" s="39" t="s">
        <v>261</v>
      </c>
      <c r="L71" s="148" t="s">
        <v>262</v>
      </c>
      <c r="M71" s="117" t="s">
        <v>132</v>
      </c>
      <c r="N71" s="137" t="s">
        <v>260</v>
      </c>
      <c r="O71" s="41" t="s">
        <v>72</v>
      </c>
      <c r="P71" s="41" t="s">
        <v>73</v>
      </c>
      <c r="Q71" s="43"/>
      <c r="R71" s="43"/>
      <c r="S71" s="45"/>
    </row>
    <row r="72" s="2" customFormat="1" ht="27" spans="1:19">
      <c r="A72" s="85" t="s">
        <v>254</v>
      </c>
      <c r="B72" s="85" t="s">
        <v>21</v>
      </c>
      <c r="C72" s="85" t="s">
        <v>255</v>
      </c>
      <c r="D72" s="85" t="s">
        <v>256</v>
      </c>
      <c r="E72" s="85" t="s">
        <v>257</v>
      </c>
      <c r="F72" s="85">
        <v>1</v>
      </c>
      <c r="G72" s="85">
        <v>2024.1</v>
      </c>
      <c r="H72" s="85">
        <v>25</v>
      </c>
      <c r="I72" s="85">
        <v>1</v>
      </c>
      <c r="J72" s="85" t="s">
        <v>25</v>
      </c>
      <c r="K72" s="39" t="s">
        <v>263</v>
      </c>
      <c r="L72" s="148" t="s">
        <v>264</v>
      </c>
      <c r="M72" s="213" t="s">
        <v>84</v>
      </c>
      <c r="N72" s="137" t="s">
        <v>84</v>
      </c>
      <c r="O72" s="41" t="s">
        <v>72</v>
      </c>
      <c r="P72" s="41" t="s">
        <v>73</v>
      </c>
      <c r="Q72" s="43"/>
      <c r="R72" s="43"/>
      <c r="S72" s="45"/>
    </row>
    <row r="73" s="2" customFormat="1" ht="27" spans="1:19">
      <c r="A73" s="85" t="s">
        <v>254</v>
      </c>
      <c r="B73" s="85" t="s">
        <v>21</v>
      </c>
      <c r="C73" s="85" t="s">
        <v>255</v>
      </c>
      <c r="D73" s="85" t="s">
        <v>256</v>
      </c>
      <c r="E73" s="85" t="s">
        <v>257</v>
      </c>
      <c r="F73" s="85">
        <v>1</v>
      </c>
      <c r="G73" s="85">
        <v>2024.1</v>
      </c>
      <c r="H73" s="85">
        <v>25</v>
      </c>
      <c r="I73" s="85">
        <v>1</v>
      </c>
      <c r="J73" s="85" t="s">
        <v>25</v>
      </c>
      <c r="K73" s="39" t="s">
        <v>265</v>
      </c>
      <c r="L73" s="148" t="s">
        <v>266</v>
      </c>
      <c r="M73" s="213" t="s">
        <v>84</v>
      </c>
      <c r="N73" s="137" t="s">
        <v>84</v>
      </c>
      <c r="O73" s="41" t="s">
        <v>72</v>
      </c>
      <c r="P73" s="41" t="s">
        <v>73</v>
      </c>
      <c r="Q73" s="43"/>
      <c r="R73" s="43"/>
      <c r="S73" s="45"/>
    </row>
    <row r="74" s="2" customFormat="1" ht="27" hidden="1" spans="1:19">
      <c r="A74" s="85" t="s">
        <v>254</v>
      </c>
      <c r="B74" s="85" t="s">
        <v>21</v>
      </c>
      <c r="C74" s="85" t="s">
        <v>255</v>
      </c>
      <c r="D74" s="85" t="s">
        <v>256</v>
      </c>
      <c r="E74" s="85" t="s">
        <v>257</v>
      </c>
      <c r="F74" s="85">
        <v>1</v>
      </c>
      <c r="G74" s="85">
        <v>2024.1</v>
      </c>
      <c r="H74" s="85">
        <v>25</v>
      </c>
      <c r="I74" s="85">
        <v>1</v>
      </c>
      <c r="J74" s="85" t="s">
        <v>25</v>
      </c>
      <c r="K74" s="39" t="s">
        <v>267</v>
      </c>
      <c r="L74" s="148" t="s">
        <v>268</v>
      </c>
      <c r="M74" s="117" t="s">
        <v>52</v>
      </c>
      <c r="N74" s="137" t="s">
        <v>269</v>
      </c>
      <c r="O74" s="41" t="s">
        <v>72</v>
      </c>
      <c r="P74" s="41" t="s">
        <v>73</v>
      </c>
      <c r="Q74" s="43"/>
      <c r="R74" s="43"/>
      <c r="S74" s="45"/>
    </row>
    <row r="75" s="2" customFormat="1" ht="27" hidden="1" spans="1:19">
      <c r="A75" s="85" t="s">
        <v>254</v>
      </c>
      <c r="B75" s="85" t="s">
        <v>63</v>
      </c>
      <c r="C75" s="85" t="s">
        <v>270</v>
      </c>
      <c r="D75" s="85" t="s">
        <v>271</v>
      </c>
      <c r="E75" s="211" t="s">
        <v>272</v>
      </c>
      <c r="F75" s="85">
        <v>1</v>
      </c>
      <c r="G75" s="85">
        <v>2023.8</v>
      </c>
      <c r="H75" s="85">
        <v>30</v>
      </c>
      <c r="I75" s="85">
        <v>1</v>
      </c>
      <c r="J75" s="85" t="s">
        <v>153</v>
      </c>
      <c r="K75" s="153" t="s">
        <v>273</v>
      </c>
      <c r="L75" s="148" t="s">
        <v>274</v>
      </c>
      <c r="M75" s="117" t="s">
        <v>70</v>
      </c>
      <c r="N75" s="40" t="s">
        <v>71</v>
      </c>
      <c r="O75" s="41" t="s">
        <v>72</v>
      </c>
      <c r="P75" s="41" t="s">
        <v>73</v>
      </c>
      <c r="Q75" s="43"/>
      <c r="R75" s="43"/>
      <c r="S75" s="45"/>
    </row>
    <row r="76" s="2" customFormat="1" hidden="1" spans="1:19">
      <c r="A76" s="85" t="s">
        <v>254</v>
      </c>
      <c r="B76" s="85" t="s">
        <v>63</v>
      </c>
      <c r="C76" s="85" t="s">
        <v>275</v>
      </c>
      <c r="D76" s="85" t="s">
        <v>276</v>
      </c>
      <c r="E76" s="90" t="s">
        <v>277</v>
      </c>
      <c r="F76" s="85">
        <v>1</v>
      </c>
      <c r="G76" s="85">
        <v>2024.1</v>
      </c>
      <c r="H76" s="85">
        <v>4</v>
      </c>
      <c r="I76" s="85">
        <v>1</v>
      </c>
      <c r="J76" s="85" t="s">
        <v>278</v>
      </c>
      <c r="K76" s="39" t="s">
        <v>279</v>
      </c>
      <c r="L76" s="148" t="s">
        <v>280</v>
      </c>
      <c r="M76" s="117" t="s">
        <v>52</v>
      </c>
      <c r="N76" s="137" t="s">
        <v>187</v>
      </c>
      <c r="O76" s="41" t="s">
        <v>72</v>
      </c>
      <c r="P76" s="41" t="s">
        <v>73</v>
      </c>
      <c r="Q76" s="43"/>
      <c r="R76" s="43"/>
      <c r="S76" s="45"/>
    </row>
    <row r="77" s="2" customFormat="1" hidden="1" spans="1:19">
      <c r="A77" s="85" t="s">
        <v>254</v>
      </c>
      <c r="B77" s="85" t="s">
        <v>21</v>
      </c>
      <c r="C77" s="85" t="s">
        <v>281</v>
      </c>
      <c r="D77" s="85" t="s">
        <v>282</v>
      </c>
      <c r="E77" s="85" t="s">
        <v>283</v>
      </c>
      <c r="F77" s="85">
        <v>6</v>
      </c>
      <c r="G77" s="85">
        <v>2025.4</v>
      </c>
      <c r="H77" s="85">
        <v>22</v>
      </c>
      <c r="I77" s="85">
        <v>6</v>
      </c>
      <c r="J77" s="85" t="s">
        <v>25</v>
      </c>
      <c r="K77" s="39" t="s">
        <v>284</v>
      </c>
      <c r="L77" s="214" t="s">
        <v>285</v>
      </c>
      <c r="M77" s="140" t="s">
        <v>28</v>
      </c>
      <c r="N77" s="141" t="s">
        <v>176</v>
      </c>
      <c r="O77" s="41" t="s">
        <v>72</v>
      </c>
      <c r="P77" s="41" t="s">
        <v>73</v>
      </c>
      <c r="Q77" s="43"/>
      <c r="R77" s="43"/>
      <c r="S77" s="45"/>
    </row>
    <row r="78" s="2" customFormat="1" hidden="1" spans="1:19">
      <c r="A78" s="85" t="s">
        <v>254</v>
      </c>
      <c r="B78" s="85" t="s">
        <v>21</v>
      </c>
      <c r="C78" s="85" t="s">
        <v>281</v>
      </c>
      <c r="D78" s="85" t="s">
        <v>282</v>
      </c>
      <c r="E78" s="85" t="s">
        <v>283</v>
      </c>
      <c r="F78" s="85">
        <v>6</v>
      </c>
      <c r="G78" s="85">
        <v>2025.4</v>
      </c>
      <c r="H78" s="85">
        <v>22</v>
      </c>
      <c r="I78" s="85">
        <v>6</v>
      </c>
      <c r="J78" s="85" t="s">
        <v>25</v>
      </c>
      <c r="K78" s="39" t="s">
        <v>286</v>
      </c>
      <c r="L78" s="168" t="s">
        <v>287</v>
      </c>
      <c r="M78" s="39" t="s">
        <v>52</v>
      </c>
      <c r="N78" s="40" t="s">
        <v>53</v>
      </c>
      <c r="O78" s="41" t="s">
        <v>72</v>
      </c>
      <c r="P78" s="41" t="s">
        <v>73</v>
      </c>
      <c r="Q78" s="43"/>
      <c r="R78" s="43"/>
      <c r="S78" s="45"/>
    </row>
    <row r="79" s="2" customFormat="1" hidden="1" spans="1:19">
      <c r="A79" s="85" t="s">
        <v>254</v>
      </c>
      <c r="B79" s="85" t="s">
        <v>21</v>
      </c>
      <c r="C79" s="85" t="s">
        <v>281</v>
      </c>
      <c r="D79" s="85" t="s">
        <v>282</v>
      </c>
      <c r="E79" s="85" t="s">
        <v>283</v>
      </c>
      <c r="F79" s="85">
        <v>6</v>
      </c>
      <c r="G79" s="85">
        <v>2025.4</v>
      </c>
      <c r="H79" s="85">
        <v>22</v>
      </c>
      <c r="I79" s="85">
        <v>6</v>
      </c>
      <c r="J79" s="85" t="s">
        <v>25</v>
      </c>
      <c r="K79" s="39" t="s">
        <v>288</v>
      </c>
      <c r="L79" s="168" t="s">
        <v>289</v>
      </c>
      <c r="M79" s="39" t="s">
        <v>70</v>
      </c>
      <c r="N79" s="40" t="s">
        <v>71</v>
      </c>
      <c r="O79" s="41" t="s">
        <v>72</v>
      </c>
      <c r="P79" s="41" t="s">
        <v>73</v>
      </c>
      <c r="Q79" s="43"/>
      <c r="R79" s="43"/>
      <c r="S79" s="45"/>
    </row>
    <row r="80" s="2" customFormat="1" ht="27" hidden="1" spans="1:19">
      <c r="A80" s="85" t="s">
        <v>254</v>
      </c>
      <c r="B80" s="85" t="s">
        <v>21</v>
      </c>
      <c r="C80" s="85" t="s">
        <v>281</v>
      </c>
      <c r="D80" s="85" t="s">
        <v>282</v>
      </c>
      <c r="E80" s="85" t="s">
        <v>283</v>
      </c>
      <c r="F80" s="85">
        <v>6</v>
      </c>
      <c r="G80" s="85">
        <v>2025.4</v>
      </c>
      <c r="H80" s="85">
        <v>22</v>
      </c>
      <c r="I80" s="85">
        <v>6</v>
      </c>
      <c r="J80" s="85" t="s">
        <v>25</v>
      </c>
      <c r="K80" s="39" t="s">
        <v>290</v>
      </c>
      <c r="L80" s="168" t="s">
        <v>291</v>
      </c>
      <c r="M80" s="39" t="s">
        <v>36</v>
      </c>
      <c r="N80" s="40" t="s">
        <v>160</v>
      </c>
      <c r="O80" s="41" t="s">
        <v>72</v>
      </c>
      <c r="P80" s="41" t="s">
        <v>73</v>
      </c>
      <c r="Q80" s="43"/>
      <c r="R80" s="43"/>
      <c r="S80" s="45"/>
    </row>
    <row r="81" s="2" customFormat="1" hidden="1" spans="1:19">
      <c r="A81" s="85" t="s">
        <v>254</v>
      </c>
      <c r="B81" s="85" t="s">
        <v>21</v>
      </c>
      <c r="C81" s="85" t="s">
        <v>281</v>
      </c>
      <c r="D81" s="85" t="s">
        <v>282</v>
      </c>
      <c r="E81" s="85" t="s">
        <v>283</v>
      </c>
      <c r="F81" s="85">
        <v>6</v>
      </c>
      <c r="G81" s="85">
        <v>2025.4</v>
      </c>
      <c r="H81" s="85">
        <v>22</v>
      </c>
      <c r="I81" s="85">
        <v>6</v>
      </c>
      <c r="J81" s="85" t="s">
        <v>25</v>
      </c>
      <c r="K81" s="39" t="s">
        <v>292</v>
      </c>
      <c r="L81" s="168" t="s">
        <v>293</v>
      </c>
      <c r="M81" s="39" t="s">
        <v>28</v>
      </c>
      <c r="N81" s="40" t="s">
        <v>29</v>
      </c>
      <c r="O81" s="41" t="s">
        <v>72</v>
      </c>
      <c r="P81" s="41" t="s">
        <v>73</v>
      </c>
      <c r="Q81" s="43"/>
      <c r="R81" s="43"/>
      <c r="S81" s="45"/>
    </row>
    <row r="82" s="2" customFormat="1" hidden="1" spans="1:19">
      <c r="A82" s="85" t="s">
        <v>254</v>
      </c>
      <c r="B82" s="85" t="s">
        <v>21</v>
      </c>
      <c r="C82" s="85" t="s">
        <v>281</v>
      </c>
      <c r="D82" s="85" t="s">
        <v>282</v>
      </c>
      <c r="E82" s="85" t="s">
        <v>283</v>
      </c>
      <c r="F82" s="85">
        <v>6</v>
      </c>
      <c r="G82" s="85">
        <v>2025.4</v>
      </c>
      <c r="H82" s="85">
        <v>22</v>
      </c>
      <c r="I82" s="85">
        <v>6</v>
      </c>
      <c r="J82" s="85" t="s">
        <v>25</v>
      </c>
      <c r="K82" s="39" t="s">
        <v>294</v>
      </c>
      <c r="L82" s="168" t="s">
        <v>295</v>
      </c>
      <c r="M82" s="39" t="s">
        <v>28</v>
      </c>
      <c r="N82" s="40" t="s">
        <v>29</v>
      </c>
      <c r="O82" s="41" t="s">
        <v>72</v>
      </c>
      <c r="P82" s="41" t="s">
        <v>73</v>
      </c>
      <c r="Q82" s="43"/>
      <c r="R82" s="43"/>
      <c r="S82" s="45"/>
    </row>
    <row r="83" s="2" customFormat="1" hidden="1" spans="1:19">
      <c r="A83" s="85" t="s">
        <v>254</v>
      </c>
      <c r="B83" s="85" t="s">
        <v>21</v>
      </c>
      <c r="C83" s="85" t="s">
        <v>281</v>
      </c>
      <c r="D83" s="85" t="s">
        <v>282</v>
      </c>
      <c r="E83" s="85" t="s">
        <v>283</v>
      </c>
      <c r="F83" s="85">
        <v>6</v>
      </c>
      <c r="G83" s="85">
        <v>2025.4</v>
      </c>
      <c r="H83" s="85">
        <v>22</v>
      </c>
      <c r="I83" s="85">
        <v>6</v>
      </c>
      <c r="J83" s="85" t="s">
        <v>25</v>
      </c>
      <c r="K83" s="39" t="s">
        <v>296</v>
      </c>
      <c r="L83" s="168" t="s">
        <v>297</v>
      </c>
      <c r="M83" s="39" t="s">
        <v>298</v>
      </c>
      <c r="N83" s="40" t="s">
        <v>299</v>
      </c>
      <c r="O83" s="41" t="s">
        <v>72</v>
      </c>
      <c r="P83" s="41" t="s">
        <v>73</v>
      </c>
      <c r="Q83" s="43"/>
      <c r="R83" s="43"/>
      <c r="S83" s="45"/>
    </row>
    <row r="84" s="2" customFormat="1" ht="27" hidden="1" spans="1:19">
      <c r="A84" s="85" t="s">
        <v>254</v>
      </c>
      <c r="B84" s="85" t="s">
        <v>21</v>
      </c>
      <c r="C84" s="85" t="s">
        <v>281</v>
      </c>
      <c r="D84" s="85" t="s">
        <v>282</v>
      </c>
      <c r="E84" s="85" t="s">
        <v>283</v>
      </c>
      <c r="F84" s="85">
        <v>6</v>
      </c>
      <c r="G84" s="85">
        <v>2025.4</v>
      </c>
      <c r="H84" s="85">
        <v>22</v>
      </c>
      <c r="I84" s="85">
        <v>6</v>
      </c>
      <c r="J84" s="85" t="s">
        <v>25</v>
      </c>
      <c r="K84" s="39" t="s">
        <v>300</v>
      </c>
      <c r="L84" s="168" t="s">
        <v>301</v>
      </c>
      <c r="M84" s="39" t="s">
        <v>36</v>
      </c>
      <c r="N84" s="40" t="s">
        <v>160</v>
      </c>
      <c r="O84" s="41" t="s">
        <v>72</v>
      </c>
      <c r="P84" s="41" t="s">
        <v>73</v>
      </c>
      <c r="Q84" s="43"/>
      <c r="R84" s="43"/>
      <c r="S84" s="45"/>
    </row>
    <row r="85" s="2" customFormat="1" ht="27" hidden="1" spans="1:19">
      <c r="A85" s="85" t="s">
        <v>254</v>
      </c>
      <c r="B85" s="85" t="s">
        <v>21</v>
      </c>
      <c r="C85" s="85" t="s">
        <v>281</v>
      </c>
      <c r="D85" s="85" t="s">
        <v>282</v>
      </c>
      <c r="E85" s="85" t="s">
        <v>283</v>
      </c>
      <c r="F85" s="85">
        <v>6</v>
      </c>
      <c r="G85" s="85">
        <v>2025.4</v>
      </c>
      <c r="H85" s="85">
        <v>22</v>
      </c>
      <c r="I85" s="85">
        <v>6</v>
      </c>
      <c r="J85" s="85" t="s">
        <v>25</v>
      </c>
      <c r="K85" s="39" t="s">
        <v>302</v>
      </c>
      <c r="L85" s="168" t="s">
        <v>303</v>
      </c>
      <c r="M85" s="39" t="s">
        <v>36</v>
      </c>
      <c r="N85" s="40" t="s">
        <v>160</v>
      </c>
      <c r="O85" s="41" t="s">
        <v>72</v>
      </c>
      <c r="P85" s="41" t="s">
        <v>73</v>
      </c>
      <c r="Q85" s="43"/>
      <c r="R85" s="43"/>
      <c r="S85" s="45"/>
    </row>
    <row r="86" s="2" customFormat="1" ht="27" hidden="1" spans="1:19">
      <c r="A86" s="43" t="s">
        <v>304</v>
      </c>
      <c r="B86" s="133" t="s">
        <v>305</v>
      </c>
      <c r="C86" s="133"/>
      <c r="D86" s="133"/>
      <c r="E86" s="133"/>
      <c r="F86" s="133"/>
      <c r="G86" s="133"/>
      <c r="H86" s="133"/>
      <c r="I86" s="133"/>
      <c r="J86" s="133"/>
      <c r="K86" s="27" t="s">
        <v>306</v>
      </c>
      <c r="L86" s="146" t="s">
        <v>307</v>
      </c>
      <c r="M86" s="106" t="s">
        <v>308</v>
      </c>
      <c r="N86" s="106" t="s">
        <v>309</v>
      </c>
      <c r="O86" s="128" t="s">
        <v>310</v>
      </c>
      <c r="P86" s="128"/>
      <c r="Q86" s="128"/>
      <c r="R86" s="128"/>
      <c r="S86" s="106"/>
    </row>
    <row r="87" s="2" customFormat="1" ht="27" hidden="1" spans="1:19">
      <c r="A87" s="43" t="s">
        <v>311</v>
      </c>
      <c r="B87" s="133" t="s">
        <v>312</v>
      </c>
      <c r="C87" s="133"/>
      <c r="D87" s="133"/>
      <c r="E87" s="133"/>
      <c r="F87" s="133"/>
      <c r="G87" s="133"/>
      <c r="H87" s="133"/>
      <c r="I87" s="133"/>
      <c r="J87" s="133"/>
      <c r="K87" s="27"/>
      <c r="L87" s="146"/>
      <c r="M87" s="106"/>
      <c r="N87" s="106"/>
      <c r="O87" s="129"/>
      <c r="P87" s="129"/>
      <c r="Q87" s="128"/>
      <c r="R87" s="128"/>
      <c r="S87" s="106"/>
    </row>
    <row r="88" s="2" customFormat="1" ht="27" hidden="1" spans="1:19">
      <c r="A88" s="85" t="s">
        <v>313</v>
      </c>
      <c r="B88" s="85" t="s">
        <v>21</v>
      </c>
      <c r="C88" s="85" t="s">
        <v>314</v>
      </c>
      <c r="D88" s="85" t="s">
        <v>315</v>
      </c>
      <c r="E88" s="85" t="s">
        <v>316</v>
      </c>
      <c r="F88" s="85">
        <v>2</v>
      </c>
      <c r="G88" s="85">
        <v>2024.7</v>
      </c>
      <c r="H88" s="85">
        <v>30</v>
      </c>
      <c r="I88" s="85">
        <v>2</v>
      </c>
      <c r="J88" s="41" t="s">
        <v>67</v>
      </c>
      <c r="K88" s="39" t="s">
        <v>317</v>
      </c>
      <c r="L88" s="148" t="s">
        <v>318</v>
      </c>
      <c r="M88" s="116" t="s">
        <v>52</v>
      </c>
      <c r="N88" s="116" t="s">
        <v>187</v>
      </c>
      <c r="O88" s="149" t="s">
        <v>72</v>
      </c>
      <c r="P88" s="149" t="s">
        <v>73</v>
      </c>
      <c r="Q88" s="43"/>
      <c r="R88" s="43"/>
      <c r="S88" s="45"/>
    </row>
    <row r="89" s="2" customFormat="1" ht="48" hidden="1" customHeight="1" spans="1:19">
      <c r="A89" s="85" t="s">
        <v>313</v>
      </c>
      <c r="B89" s="85" t="s">
        <v>21</v>
      </c>
      <c r="C89" s="85" t="s">
        <v>314</v>
      </c>
      <c r="D89" s="85" t="s">
        <v>315</v>
      </c>
      <c r="E89" s="85" t="s">
        <v>316</v>
      </c>
      <c r="F89" s="85">
        <v>2</v>
      </c>
      <c r="G89" s="85">
        <v>2024.7</v>
      </c>
      <c r="H89" s="85">
        <v>30</v>
      </c>
      <c r="I89" s="85">
        <v>2</v>
      </c>
      <c r="J89" s="41" t="s">
        <v>67</v>
      </c>
      <c r="K89" s="39" t="s">
        <v>317</v>
      </c>
      <c r="L89" s="148" t="s">
        <v>319</v>
      </c>
      <c r="M89" s="116" t="s">
        <v>36</v>
      </c>
      <c r="N89" s="116" t="s">
        <v>160</v>
      </c>
      <c r="O89" s="149" t="s">
        <v>72</v>
      </c>
      <c r="P89" s="149" t="s">
        <v>73</v>
      </c>
      <c r="Q89" s="43"/>
      <c r="R89" s="43"/>
      <c r="S89" s="45"/>
    </row>
    <row r="90" s="2" customFormat="1" ht="40.5" hidden="1" spans="1:19">
      <c r="A90" s="85" t="s">
        <v>313</v>
      </c>
      <c r="B90" s="85" t="s">
        <v>21</v>
      </c>
      <c r="C90" s="85" t="s">
        <v>314</v>
      </c>
      <c r="D90" s="85" t="s">
        <v>320</v>
      </c>
      <c r="E90" s="85" t="s">
        <v>321</v>
      </c>
      <c r="F90" s="85">
        <v>2</v>
      </c>
      <c r="G90" s="85">
        <v>2023.7</v>
      </c>
      <c r="H90" s="85">
        <v>14</v>
      </c>
      <c r="I90" s="85">
        <v>2</v>
      </c>
      <c r="J90" s="41" t="s">
        <v>67</v>
      </c>
      <c r="K90" s="215" t="s">
        <v>322</v>
      </c>
      <c r="L90" s="148" t="s">
        <v>423</v>
      </c>
      <c r="M90" s="116" t="s">
        <v>44</v>
      </c>
      <c r="N90" s="116" t="s">
        <v>45</v>
      </c>
      <c r="O90" s="149" t="s">
        <v>72</v>
      </c>
      <c r="P90" s="149" t="s">
        <v>73</v>
      </c>
      <c r="Q90" s="43"/>
      <c r="R90" s="43"/>
      <c r="S90" s="45"/>
    </row>
    <row r="91" s="2" customFormat="1" ht="40.5" hidden="1" spans="1:19">
      <c r="A91" s="85" t="s">
        <v>313</v>
      </c>
      <c r="B91" s="85" t="s">
        <v>21</v>
      </c>
      <c r="C91" s="85" t="s">
        <v>314</v>
      </c>
      <c r="D91" s="85" t="s">
        <v>320</v>
      </c>
      <c r="E91" s="85" t="s">
        <v>321</v>
      </c>
      <c r="F91" s="85">
        <v>2</v>
      </c>
      <c r="G91" s="85">
        <v>2023.7</v>
      </c>
      <c r="H91" s="85">
        <v>14</v>
      </c>
      <c r="I91" s="85">
        <v>2</v>
      </c>
      <c r="J91" s="41" t="s">
        <v>67</v>
      </c>
      <c r="K91" s="215" t="s">
        <v>324</v>
      </c>
      <c r="L91" s="148" t="s">
        <v>325</v>
      </c>
      <c r="M91" s="116" t="s">
        <v>70</v>
      </c>
      <c r="N91" s="116" t="s">
        <v>326</v>
      </c>
      <c r="O91" s="149" t="s">
        <v>72</v>
      </c>
      <c r="P91" s="149" t="s">
        <v>73</v>
      </c>
      <c r="Q91" s="43"/>
      <c r="R91" s="43"/>
      <c r="S91" s="45"/>
    </row>
    <row r="92" s="2" customFormat="1" ht="54" hidden="1" spans="1:19">
      <c r="A92" s="85" t="s">
        <v>313</v>
      </c>
      <c r="B92" s="85" t="s">
        <v>21</v>
      </c>
      <c r="C92" s="85" t="s">
        <v>327</v>
      </c>
      <c r="D92" s="85" t="s">
        <v>328</v>
      </c>
      <c r="E92" s="85" t="s">
        <v>329</v>
      </c>
      <c r="F92" s="85">
        <v>10</v>
      </c>
      <c r="G92" s="85">
        <v>2025.4</v>
      </c>
      <c r="H92" s="85">
        <v>30</v>
      </c>
      <c r="I92" s="85">
        <v>10</v>
      </c>
      <c r="J92" s="85" t="s">
        <v>25</v>
      </c>
      <c r="K92" s="39" t="s">
        <v>330</v>
      </c>
      <c r="L92" s="148" t="s">
        <v>331</v>
      </c>
      <c r="M92" s="116" t="s">
        <v>332</v>
      </c>
      <c r="N92" s="116" t="s">
        <v>98</v>
      </c>
      <c r="O92" s="149" t="s">
        <v>72</v>
      </c>
      <c r="P92" s="149" t="s">
        <v>73</v>
      </c>
      <c r="Q92" s="43"/>
      <c r="R92" s="43"/>
      <c r="S92" s="45"/>
    </row>
    <row r="93" s="2" customFormat="1" ht="54" hidden="1" spans="1:19">
      <c r="A93" s="85" t="s">
        <v>313</v>
      </c>
      <c r="B93" s="85" t="s">
        <v>21</v>
      </c>
      <c r="C93" s="85" t="s">
        <v>327</v>
      </c>
      <c r="D93" s="85" t="s">
        <v>328</v>
      </c>
      <c r="E93" s="85" t="s">
        <v>329</v>
      </c>
      <c r="F93" s="85">
        <v>10</v>
      </c>
      <c r="G93" s="85">
        <v>2025.4</v>
      </c>
      <c r="H93" s="85">
        <v>30</v>
      </c>
      <c r="I93" s="85">
        <v>10</v>
      </c>
      <c r="J93" s="85" t="s">
        <v>25</v>
      </c>
      <c r="K93" s="39" t="s">
        <v>330</v>
      </c>
      <c r="L93" s="148" t="s">
        <v>333</v>
      </c>
      <c r="M93" s="116" t="s">
        <v>332</v>
      </c>
      <c r="N93" s="116" t="s">
        <v>98</v>
      </c>
      <c r="O93" s="149" t="s">
        <v>72</v>
      </c>
      <c r="P93" s="149" t="s">
        <v>73</v>
      </c>
      <c r="Q93" s="43"/>
      <c r="R93" s="43"/>
      <c r="S93" s="45"/>
    </row>
    <row r="94" s="2" customFormat="1" ht="54" hidden="1" spans="1:19">
      <c r="A94" s="85" t="s">
        <v>313</v>
      </c>
      <c r="B94" s="85" t="s">
        <v>21</v>
      </c>
      <c r="C94" s="85" t="s">
        <v>327</v>
      </c>
      <c r="D94" s="85" t="s">
        <v>328</v>
      </c>
      <c r="E94" s="85" t="s">
        <v>329</v>
      </c>
      <c r="F94" s="85">
        <v>10</v>
      </c>
      <c r="G94" s="85">
        <v>2025.4</v>
      </c>
      <c r="H94" s="85">
        <v>30</v>
      </c>
      <c r="I94" s="85">
        <v>10</v>
      </c>
      <c r="J94" s="85" t="s">
        <v>25</v>
      </c>
      <c r="K94" s="39" t="s">
        <v>330</v>
      </c>
      <c r="L94" s="148" t="s">
        <v>334</v>
      </c>
      <c r="M94" s="116" t="s">
        <v>332</v>
      </c>
      <c r="N94" s="116" t="s">
        <v>98</v>
      </c>
      <c r="O94" s="149" t="s">
        <v>72</v>
      </c>
      <c r="P94" s="149" t="s">
        <v>73</v>
      </c>
      <c r="Q94" s="43"/>
      <c r="R94" s="43"/>
      <c r="S94" s="45"/>
    </row>
    <row r="95" s="2" customFormat="1" ht="54" hidden="1" spans="1:19">
      <c r="A95" s="85" t="s">
        <v>313</v>
      </c>
      <c r="B95" s="85" t="s">
        <v>21</v>
      </c>
      <c r="C95" s="85" t="s">
        <v>327</v>
      </c>
      <c r="D95" s="85" t="s">
        <v>328</v>
      </c>
      <c r="E95" s="85" t="s">
        <v>329</v>
      </c>
      <c r="F95" s="85">
        <v>10</v>
      </c>
      <c r="G95" s="85">
        <v>2025.4</v>
      </c>
      <c r="H95" s="85">
        <v>30</v>
      </c>
      <c r="I95" s="85">
        <v>10</v>
      </c>
      <c r="J95" s="85" t="s">
        <v>25</v>
      </c>
      <c r="K95" s="39" t="s">
        <v>330</v>
      </c>
      <c r="L95" s="148" t="s">
        <v>334</v>
      </c>
      <c r="M95" s="116" t="s">
        <v>332</v>
      </c>
      <c r="N95" s="116" t="s">
        <v>98</v>
      </c>
      <c r="O95" s="149" t="s">
        <v>72</v>
      </c>
      <c r="P95" s="149" t="s">
        <v>73</v>
      </c>
      <c r="Q95" s="43"/>
      <c r="R95" s="43"/>
      <c r="S95" s="45"/>
    </row>
    <row r="96" s="2" customFormat="1" ht="18" hidden="1" customHeight="1" spans="1:19">
      <c r="A96" s="85" t="s">
        <v>335</v>
      </c>
      <c r="B96" s="45" t="s">
        <v>63</v>
      </c>
      <c r="C96" s="45" t="s">
        <v>270</v>
      </c>
      <c r="D96" s="45" t="s">
        <v>336</v>
      </c>
      <c r="E96" s="45" t="s">
        <v>337</v>
      </c>
      <c r="F96" s="45">
        <v>1</v>
      </c>
      <c r="G96" s="45">
        <v>2024.3</v>
      </c>
      <c r="H96" s="45">
        <v>22</v>
      </c>
      <c r="I96" s="45">
        <v>1</v>
      </c>
      <c r="J96" s="85" t="s">
        <v>153</v>
      </c>
      <c r="K96" s="153" t="s">
        <v>338</v>
      </c>
      <c r="L96" s="155" t="s">
        <v>339</v>
      </c>
      <c r="M96" s="110" t="s">
        <v>70</v>
      </c>
      <c r="N96" s="167" t="s">
        <v>71</v>
      </c>
      <c r="O96" s="43" t="s">
        <v>340</v>
      </c>
      <c r="P96" s="43" t="s">
        <v>341</v>
      </c>
      <c r="Q96" s="170"/>
      <c r="R96" s="44"/>
      <c r="S96" s="99"/>
    </row>
    <row r="97" s="2" customFormat="1" ht="27" spans="1:19">
      <c r="A97" s="85" t="s">
        <v>335</v>
      </c>
      <c r="B97" s="45"/>
      <c r="C97" s="45"/>
      <c r="D97" s="45"/>
      <c r="E97" s="45"/>
      <c r="F97" s="45"/>
      <c r="G97" s="45"/>
      <c r="H97" s="45"/>
      <c r="I97" s="45"/>
      <c r="J97" s="85" t="s">
        <v>153</v>
      </c>
      <c r="K97" s="153" t="s">
        <v>342</v>
      </c>
      <c r="L97" s="168" t="s">
        <v>343</v>
      </c>
      <c r="M97" s="153" t="s">
        <v>84</v>
      </c>
      <c r="N97" s="169" t="s">
        <v>84</v>
      </c>
      <c r="O97" s="43"/>
      <c r="P97" s="43"/>
      <c r="Q97" s="2"/>
      <c r="R97" s="2"/>
      <c r="S97" s="4"/>
    </row>
    <row r="98" s="84" customFormat="1" hidden="1" spans="1:16">
      <c r="A98" s="85" t="s">
        <v>335</v>
      </c>
      <c r="B98" s="45" t="s">
        <v>63</v>
      </c>
      <c r="C98" s="45" t="s">
        <v>344</v>
      </c>
      <c r="D98" s="45" t="s">
        <v>206</v>
      </c>
      <c r="E98" s="90" t="s">
        <v>207</v>
      </c>
      <c r="F98" s="45">
        <v>2</v>
      </c>
      <c r="G98" s="45">
        <v>2025.4</v>
      </c>
      <c r="H98" s="45">
        <v>18</v>
      </c>
      <c r="I98" s="45">
        <v>2</v>
      </c>
      <c r="J98" s="85" t="s">
        <v>153</v>
      </c>
      <c r="K98" s="45" t="s">
        <v>345</v>
      </c>
      <c r="L98" s="84" t="s">
        <v>346</v>
      </c>
      <c r="M98" s="84" t="s">
        <v>52</v>
      </c>
      <c r="N98" s="84" t="s">
        <v>187</v>
      </c>
      <c r="O98" s="45" t="s">
        <v>347</v>
      </c>
      <c r="P98" s="45" t="s">
        <v>157</v>
      </c>
    </row>
    <row r="99" s="84" customFormat="1" ht="27" hidden="1" spans="1:16">
      <c r="A99" s="85" t="s">
        <v>335</v>
      </c>
      <c r="B99" s="85" t="s">
        <v>21</v>
      </c>
      <c r="C99" s="85" t="s">
        <v>348</v>
      </c>
      <c r="D99" s="85" t="s">
        <v>349</v>
      </c>
      <c r="E99" s="85" t="s">
        <v>350</v>
      </c>
      <c r="F99" s="85">
        <v>7</v>
      </c>
      <c r="G99" s="85">
        <v>2024.11</v>
      </c>
      <c r="H99" s="85">
        <v>20</v>
      </c>
      <c r="I99" s="85">
        <v>7</v>
      </c>
      <c r="J99" s="85" t="s">
        <v>153</v>
      </c>
      <c r="K99" s="153" t="s">
        <v>351</v>
      </c>
      <c r="L99" s="148" t="s">
        <v>352</v>
      </c>
      <c r="M99" s="37" t="s">
        <v>353</v>
      </c>
      <c r="N99" s="154" t="s">
        <v>354</v>
      </c>
      <c r="O99" s="85" t="s">
        <v>355</v>
      </c>
      <c r="P99" s="85" t="s">
        <v>73</v>
      </c>
    </row>
    <row r="100" s="84" customFormat="1" ht="27" hidden="1" spans="1:16">
      <c r="A100" s="85" t="s">
        <v>335</v>
      </c>
      <c r="B100" s="85" t="s">
        <v>21</v>
      </c>
      <c r="C100" s="85" t="s">
        <v>348</v>
      </c>
      <c r="D100" s="85" t="s">
        <v>349</v>
      </c>
      <c r="E100" s="85" t="s">
        <v>350</v>
      </c>
      <c r="F100" s="85">
        <v>7</v>
      </c>
      <c r="G100" s="85">
        <v>2024.11</v>
      </c>
      <c r="H100" s="85">
        <v>20</v>
      </c>
      <c r="I100" s="85">
        <v>7</v>
      </c>
      <c r="J100" s="85" t="s">
        <v>153</v>
      </c>
      <c r="K100" s="153" t="s">
        <v>356</v>
      </c>
      <c r="L100" s="148" t="s">
        <v>357</v>
      </c>
      <c r="M100" s="37" t="s">
        <v>353</v>
      </c>
      <c r="N100" s="154" t="s">
        <v>354</v>
      </c>
      <c r="O100" s="85" t="s">
        <v>355</v>
      </c>
      <c r="P100" s="85" t="s">
        <v>73</v>
      </c>
    </row>
    <row r="101" s="84" customFormat="1" ht="27" hidden="1" spans="1:16">
      <c r="A101" s="85" t="s">
        <v>335</v>
      </c>
      <c r="B101" s="85" t="s">
        <v>21</v>
      </c>
      <c r="C101" s="85" t="s">
        <v>348</v>
      </c>
      <c r="D101" s="85" t="s">
        <v>349</v>
      </c>
      <c r="E101" s="85" t="s">
        <v>350</v>
      </c>
      <c r="F101" s="85">
        <v>7</v>
      </c>
      <c r="G101" s="85">
        <v>2024.11</v>
      </c>
      <c r="H101" s="85">
        <v>20</v>
      </c>
      <c r="I101" s="85">
        <v>7</v>
      </c>
      <c r="J101" s="85" t="s">
        <v>153</v>
      </c>
      <c r="K101" s="153" t="s">
        <v>358</v>
      </c>
      <c r="L101" s="148" t="s">
        <v>359</v>
      </c>
      <c r="M101" s="37" t="s">
        <v>353</v>
      </c>
      <c r="N101" s="154" t="s">
        <v>354</v>
      </c>
      <c r="O101" s="85" t="s">
        <v>355</v>
      </c>
      <c r="P101" s="85" t="s">
        <v>73</v>
      </c>
    </row>
    <row r="102" s="84" customFormat="1" ht="27" hidden="1" spans="1:16">
      <c r="A102" s="85" t="s">
        <v>335</v>
      </c>
      <c r="B102" s="85" t="s">
        <v>21</v>
      </c>
      <c r="C102" s="85" t="s">
        <v>348</v>
      </c>
      <c r="D102" s="85" t="s">
        <v>349</v>
      </c>
      <c r="E102" s="85" t="s">
        <v>350</v>
      </c>
      <c r="F102" s="85">
        <v>7</v>
      </c>
      <c r="G102" s="85">
        <v>2024.11</v>
      </c>
      <c r="H102" s="85">
        <v>20</v>
      </c>
      <c r="I102" s="85">
        <v>7</v>
      </c>
      <c r="J102" s="85" t="s">
        <v>153</v>
      </c>
      <c r="K102" s="153" t="s">
        <v>360</v>
      </c>
      <c r="L102" s="148" t="s">
        <v>361</v>
      </c>
      <c r="M102" s="37" t="s">
        <v>353</v>
      </c>
      <c r="N102" s="154" t="s">
        <v>354</v>
      </c>
      <c r="O102" s="85" t="s">
        <v>355</v>
      </c>
      <c r="P102" s="85" t="s">
        <v>73</v>
      </c>
    </row>
    <row r="103" s="84" customFormat="1" ht="27" hidden="1" spans="1:16">
      <c r="A103" s="85" t="s">
        <v>335</v>
      </c>
      <c r="B103" s="85" t="s">
        <v>21</v>
      </c>
      <c r="C103" s="85" t="s">
        <v>348</v>
      </c>
      <c r="D103" s="85" t="s">
        <v>349</v>
      </c>
      <c r="E103" s="85" t="s">
        <v>350</v>
      </c>
      <c r="F103" s="85">
        <v>7</v>
      </c>
      <c r="G103" s="85">
        <v>2024.11</v>
      </c>
      <c r="H103" s="85">
        <v>20</v>
      </c>
      <c r="I103" s="85">
        <v>7</v>
      </c>
      <c r="J103" s="85" t="s">
        <v>153</v>
      </c>
      <c r="K103" s="153" t="s">
        <v>362</v>
      </c>
      <c r="L103" s="148" t="s">
        <v>363</v>
      </c>
      <c r="M103" s="37" t="s">
        <v>353</v>
      </c>
      <c r="N103" s="154" t="s">
        <v>354</v>
      </c>
      <c r="O103" s="85" t="s">
        <v>355</v>
      </c>
      <c r="P103" s="85" t="s">
        <v>73</v>
      </c>
    </row>
    <row r="104" s="84" customFormat="1" ht="40.5" hidden="1" spans="1:16">
      <c r="A104" s="85" t="s">
        <v>335</v>
      </c>
      <c r="B104" s="85" t="s">
        <v>21</v>
      </c>
      <c r="C104" s="85" t="s">
        <v>348</v>
      </c>
      <c r="D104" s="85" t="s">
        <v>349</v>
      </c>
      <c r="E104" s="85" t="s">
        <v>350</v>
      </c>
      <c r="F104" s="85">
        <v>7</v>
      </c>
      <c r="G104" s="85">
        <v>2024.11</v>
      </c>
      <c r="H104" s="85">
        <v>20</v>
      </c>
      <c r="I104" s="85">
        <v>7</v>
      </c>
      <c r="J104" s="85" t="s">
        <v>153</v>
      </c>
      <c r="K104" s="153" t="s">
        <v>364</v>
      </c>
      <c r="L104" s="155" t="s">
        <v>365</v>
      </c>
      <c r="M104" s="109" t="s">
        <v>353</v>
      </c>
      <c r="N104" s="156" t="s">
        <v>354</v>
      </c>
      <c r="O104" s="34" t="s">
        <v>355</v>
      </c>
      <c r="P104" s="34" t="s">
        <v>73</v>
      </c>
    </row>
    <row r="105" s="84" customFormat="1" ht="40.5" hidden="1" spans="1:17">
      <c r="A105" s="85" t="s">
        <v>366</v>
      </c>
      <c r="B105" s="41" t="s">
        <v>21</v>
      </c>
      <c r="C105" s="41" t="s">
        <v>367</v>
      </c>
      <c r="D105" s="41" t="s">
        <v>368</v>
      </c>
      <c r="E105" s="41" t="s">
        <v>369</v>
      </c>
      <c r="F105" s="41">
        <v>11</v>
      </c>
      <c r="G105" s="41">
        <v>2025.2</v>
      </c>
      <c r="H105" s="41">
        <v>22</v>
      </c>
      <c r="I105" s="41">
        <v>11</v>
      </c>
      <c r="J105" s="41" t="s">
        <v>278</v>
      </c>
      <c r="K105" s="39" t="s">
        <v>370</v>
      </c>
      <c r="L105" s="168" t="s">
        <v>371</v>
      </c>
      <c r="M105" s="39" t="s">
        <v>132</v>
      </c>
      <c r="N105" s="39" t="s">
        <v>372</v>
      </c>
      <c r="O105" s="85" t="s">
        <v>72</v>
      </c>
      <c r="P105" s="85" t="s">
        <v>73</v>
      </c>
      <c r="Q105" s="85"/>
    </row>
    <row r="106" s="2" customFormat="1" ht="40.5" hidden="1" spans="1:17">
      <c r="A106" s="85" t="s">
        <v>366</v>
      </c>
      <c r="B106" s="41" t="s">
        <v>21</v>
      </c>
      <c r="C106" s="41" t="s">
        <v>367</v>
      </c>
      <c r="D106" s="41" t="s">
        <v>368</v>
      </c>
      <c r="E106" s="41" t="s">
        <v>369</v>
      </c>
      <c r="F106" s="41">
        <v>11</v>
      </c>
      <c r="G106" s="41">
        <v>2025.2</v>
      </c>
      <c r="H106" s="41">
        <v>22</v>
      </c>
      <c r="I106" s="41">
        <v>11</v>
      </c>
      <c r="J106" s="41" t="s">
        <v>278</v>
      </c>
      <c r="K106" s="39" t="s">
        <v>373</v>
      </c>
      <c r="L106" s="168" t="s">
        <v>374</v>
      </c>
      <c r="M106" s="39" t="s">
        <v>375</v>
      </c>
      <c r="N106" s="39" t="s">
        <v>376</v>
      </c>
      <c r="O106" s="85"/>
      <c r="P106" s="85" t="s">
        <v>73</v>
      </c>
      <c r="Q106" s="43"/>
    </row>
    <row r="107" s="2" customFormat="1" ht="27" hidden="1" spans="1:19">
      <c r="A107" s="85" t="s">
        <v>366</v>
      </c>
      <c r="B107" s="41" t="s">
        <v>21</v>
      </c>
      <c r="C107" s="41" t="s">
        <v>367</v>
      </c>
      <c r="D107" s="41" t="s">
        <v>368</v>
      </c>
      <c r="E107" s="41" t="s">
        <v>369</v>
      </c>
      <c r="F107" s="41">
        <v>11</v>
      </c>
      <c r="G107" s="41">
        <v>2025.2</v>
      </c>
      <c r="H107" s="41">
        <v>22</v>
      </c>
      <c r="I107" s="41">
        <v>11</v>
      </c>
      <c r="J107" s="41" t="s">
        <v>278</v>
      </c>
      <c r="K107" s="39" t="s">
        <v>377</v>
      </c>
      <c r="L107" s="168" t="s">
        <v>378</v>
      </c>
      <c r="M107" s="39" t="s">
        <v>132</v>
      </c>
      <c r="N107" s="39" t="s">
        <v>372</v>
      </c>
      <c r="O107" s="85"/>
      <c r="P107" s="85" t="s">
        <v>73</v>
      </c>
      <c r="Q107" s="43"/>
      <c r="R107" s="158"/>
      <c r="S107" s="45"/>
    </row>
    <row r="108" s="2" customFormat="1" ht="27" hidden="1" spans="1:19">
      <c r="A108" s="85" t="s">
        <v>366</v>
      </c>
      <c r="B108" s="41" t="s">
        <v>21</v>
      </c>
      <c r="C108" s="41" t="s">
        <v>367</v>
      </c>
      <c r="D108" s="41" t="s">
        <v>368</v>
      </c>
      <c r="E108" s="41" t="s">
        <v>369</v>
      </c>
      <c r="F108" s="41">
        <v>11</v>
      </c>
      <c r="G108" s="41">
        <v>2025.2</v>
      </c>
      <c r="H108" s="41">
        <v>22</v>
      </c>
      <c r="I108" s="41">
        <v>11</v>
      </c>
      <c r="J108" s="41" t="s">
        <v>278</v>
      </c>
      <c r="K108" s="39" t="s">
        <v>379</v>
      </c>
      <c r="L108" s="168" t="s">
        <v>380</v>
      </c>
      <c r="M108" s="157"/>
      <c r="N108" s="157"/>
      <c r="O108" s="85"/>
      <c r="P108" s="85" t="s">
        <v>73</v>
      </c>
      <c r="Q108" s="43"/>
      <c r="R108" s="158"/>
      <c r="S108" s="45"/>
    </row>
    <row r="109" s="2" customFormat="1" ht="40.5" hidden="1" spans="1:19">
      <c r="A109" s="85" t="s">
        <v>366</v>
      </c>
      <c r="B109" s="41" t="s">
        <v>21</v>
      </c>
      <c r="C109" s="41" t="s">
        <v>367</v>
      </c>
      <c r="D109" s="41" t="s">
        <v>368</v>
      </c>
      <c r="E109" s="41" t="s">
        <v>369</v>
      </c>
      <c r="F109" s="41">
        <v>11</v>
      </c>
      <c r="G109" s="41">
        <v>2025.2</v>
      </c>
      <c r="H109" s="41">
        <v>22</v>
      </c>
      <c r="I109" s="41">
        <v>11</v>
      </c>
      <c r="J109" s="41" t="s">
        <v>278</v>
      </c>
      <c r="K109" s="39" t="s">
        <v>381</v>
      </c>
      <c r="L109" s="168" t="s">
        <v>382</v>
      </c>
      <c r="M109" s="39" t="s">
        <v>383</v>
      </c>
      <c r="N109" s="39" t="s">
        <v>176</v>
      </c>
      <c r="O109" s="85"/>
      <c r="P109" s="85" t="s">
        <v>73</v>
      </c>
      <c r="Q109" s="43"/>
      <c r="R109" s="158"/>
      <c r="S109" s="45"/>
    </row>
    <row r="110" s="2" customFormat="1" ht="21" hidden="1" customHeight="1" spans="1:19">
      <c r="A110" s="85" t="s">
        <v>366</v>
      </c>
      <c r="B110" s="41" t="s">
        <v>21</v>
      </c>
      <c r="C110" s="41" t="s">
        <v>367</v>
      </c>
      <c r="D110" s="41" t="s">
        <v>368</v>
      </c>
      <c r="E110" s="41" t="s">
        <v>369</v>
      </c>
      <c r="F110" s="41">
        <v>11</v>
      </c>
      <c r="G110" s="41">
        <v>2025.2</v>
      </c>
      <c r="H110" s="41">
        <v>22</v>
      </c>
      <c r="I110" s="41">
        <v>11</v>
      </c>
      <c r="J110" s="41" t="s">
        <v>278</v>
      </c>
      <c r="K110" s="39" t="s">
        <v>384</v>
      </c>
      <c r="L110" s="168" t="s">
        <v>385</v>
      </c>
      <c r="M110" s="39" t="s">
        <v>70</v>
      </c>
      <c r="N110" s="39" t="s">
        <v>168</v>
      </c>
      <c r="O110" s="85"/>
      <c r="P110" s="85" t="s">
        <v>73</v>
      </c>
      <c r="Q110" s="43"/>
      <c r="R110" s="158"/>
      <c r="S110" s="45"/>
    </row>
    <row r="111" s="2" customFormat="1" ht="27" hidden="1" spans="1:19">
      <c r="A111" s="85" t="s">
        <v>366</v>
      </c>
      <c r="B111" s="41" t="s">
        <v>21</v>
      </c>
      <c r="C111" s="41" t="s">
        <v>367</v>
      </c>
      <c r="D111" s="41" t="s">
        <v>368</v>
      </c>
      <c r="E111" s="41" t="s">
        <v>369</v>
      </c>
      <c r="F111" s="41">
        <v>11</v>
      </c>
      <c r="G111" s="41">
        <v>2025.2</v>
      </c>
      <c r="H111" s="41">
        <v>22</v>
      </c>
      <c r="I111" s="41">
        <v>11</v>
      </c>
      <c r="J111" s="41" t="s">
        <v>278</v>
      </c>
      <c r="K111" s="39" t="s">
        <v>424</v>
      </c>
      <c r="L111" s="216" t="s">
        <v>387</v>
      </c>
      <c r="M111" s="39" t="s">
        <v>388</v>
      </c>
      <c r="N111" s="157"/>
      <c r="O111" s="85"/>
      <c r="P111" s="85" t="s">
        <v>73</v>
      </c>
      <c r="Q111" s="43"/>
      <c r="R111" s="158"/>
      <c r="S111" s="45"/>
    </row>
    <row r="112" s="2" customFormat="1" ht="27" hidden="1" spans="1:19">
      <c r="A112" s="85" t="s">
        <v>366</v>
      </c>
      <c r="B112" s="41" t="s">
        <v>21</v>
      </c>
      <c r="C112" s="41" t="s">
        <v>367</v>
      </c>
      <c r="D112" s="41" t="s">
        <v>368</v>
      </c>
      <c r="E112" s="41" t="s">
        <v>369</v>
      </c>
      <c r="F112" s="41">
        <v>11</v>
      </c>
      <c r="G112" s="41">
        <v>2025.2</v>
      </c>
      <c r="H112" s="41">
        <v>22</v>
      </c>
      <c r="I112" s="41">
        <v>11</v>
      </c>
      <c r="J112" s="41" t="s">
        <v>278</v>
      </c>
      <c r="K112" s="39" t="s">
        <v>389</v>
      </c>
      <c r="L112" s="157"/>
      <c r="M112" s="157" t="s">
        <v>230</v>
      </c>
      <c r="N112" s="157" t="s">
        <v>231</v>
      </c>
      <c r="O112" s="85"/>
      <c r="P112" s="85" t="s">
        <v>73</v>
      </c>
      <c r="Q112" s="43"/>
      <c r="R112" s="43"/>
      <c r="S112" s="45"/>
    </row>
    <row r="113" s="2" customFormat="1" ht="27" hidden="1" spans="1:19">
      <c r="A113" s="85" t="s">
        <v>366</v>
      </c>
      <c r="B113" s="41" t="s">
        <v>21</v>
      </c>
      <c r="C113" s="41" t="s">
        <v>367</v>
      </c>
      <c r="D113" s="41" t="s">
        <v>368</v>
      </c>
      <c r="E113" s="41" t="s">
        <v>369</v>
      </c>
      <c r="F113" s="41">
        <v>11</v>
      </c>
      <c r="G113" s="41">
        <v>2025.2</v>
      </c>
      <c r="H113" s="41">
        <v>22</v>
      </c>
      <c r="I113" s="41">
        <v>11</v>
      </c>
      <c r="J113" s="41" t="s">
        <v>278</v>
      </c>
      <c r="K113" s="39" t="s">
        <v>390</v>
      </c>
      <c r="L113" s="39" t="s">
        <v>391</v>
      </c>
      <c r="M113" s="39" t="s">
        <v>28</v>
      </c>
      <c r="N113" s="39" t="s">
        <v>29</v>
      </c>
      <c r="O113" s="85"/>
      <c r="P113" s="85" t="s">
        <v>73</v>
      </c>
      <c r="Q113" s="43"/>
      <c r="R113" s="43"/>
      <c r="S113" s="45"/>
    </row>
    <row r="114" ht="40.5" hidden="1" spans="1:19">
      <c r="A114" s="85" t="s">
        <v>366</v>
      </c>
      <c r="B114" s="41" t="s">
        <v>21</v>
      </c>
      <c r="C114" s="41" t="s">
        <v>367</v>
      </c>
      <c r="D114" s="41" t="s">
        <v>368</v>
      </c>
      <c r="E114" s="41" t="s">
        <v>369</v>
      </c>
      <c r="F114" s="41">
        <v>11</v>
      </c>
      <c r="G114" s="41">
        <v>2025.2</v>
      </c>
      <c r="H114" s="41">
        <v>22</v>
      </c>
      <c r="I114" s="41">
        <v>11</v>
      </c>
      <c r="J114" s="41" t="s">
        <v>278</v>
      </c>
      <c r="K114" s="39" t="s">
        <v>392</v>
      </c>
      <c r="L114" s="39" t="s">
        <v>393</v>
      </c>
      <c r="M114" s="157" t="s">
        <v>230</v>
      </c>
      <c r="N114" s="157" t="s">
        <v>231</v>
      </c>
      <c r="O114" s="85"/>
      <c r="P114" s="85" t="s">
        <v>73</v>
      </c>
      <c r="Q114" s="43"/>
      <c r="R114" s="43"/>
      <c r="S114" s="45"/>
    </row>
    <row r="115" s="3" customFormat="1" ht="40.5" hidden="1" spans="1:19">
      <c r="A115" s="85" t="s">
        <v>366</v>
      </c>
      <c r="B115" s="41" t="s">
        <v>21</v>
      </c>
      <c r="C115" s="41" t="s">
        <v>367</v>
      </c>
      <c r="D115" s="41" t="s">
        <v>368</v>
      </c>
      <c r="E115" s="41" t="s">
        <v>369</v>
      </c>
      <c r="F115" s="41">
        <v>11</v>
      </c>
      <c r="G115" s="41">
        <v>2025.2</v>
      </c>
      <c r="H115" s="41">
        <v>22</v>
      </c>
      <c r="I115" s="41">
        <v>11</v>
      </c>
      <c r="J115" s="41" t="s">
        <v>278</v>
      </c>
      <c r="K115" s="39" t="s">
        <v>394</v>
      </c>
      <c r="L115" s="39" t="s">
        <v>395</v>
      </c>
      <c r="M115" s="39" t="s">
        <v>36</v>
      </c>
      <c r="N115" s="39" t="s">
        <v>160</v>
      </c>
      <c r="O115" s="85"/>
      <c r="P115" s="85" t="s">
        <v>73</v>
      </c>
      <c r="Q115" s="43"/>
      <c r="R115" s="43"/>
      <c r="S115" s="45"/>
    </row>
    <row r="116" s="3" customFormat="1" ht="24" spans="1:19">
      <c r="A116" s="133" t="s">
        <v>20</v>
      </c>
      <c r="B116" s="133" t="s">
        <v>21</v>
      </c>
      <c r="C116" s="133" t="s">
        <v>425</v>
      </c>
      <c r="D116" s="133" t="s">
        <v>426</v>
      </c>
      <c r="E116" s="133" t="s">
        <v>427</v>
      </c>
      <c r="F116" s="133">
        <v>12</v>
      </c>
      <c r="G116" s="212">
        <v>2024.3</v>
      </c>
      <c r="H116" s="133">
        <v>20</v>
      </c>
      <c r="I116" s="133">
        <v>12</v>
      </c>
      <c r="J116" s="133" t="s">
        <v>428</v>
      </c>
      <c r="K116" s="29" t="s">
        <v>429</v>
      </c>
      <c r="L116" s="29" t="s">
        <v>430</v>
      </c>
      <c r="M116" s="26" t="s">
        <v>84</v>
      </c>
      <c r="N116" s="26" t="s">
        <v>84</v>
      </c>
      <c r="O116" s="100" t="s">
        <v>431</v>
      </c>
      <c r="P116" s="100" t="s">
        <v>432</v>
      </c>
      <c r="Q116" s="100"/>
      <c r="R116" s="100"/>
      <c r="S116" s="100"/>
    </row>
    <row r="117" s="3" customFormat="1" spans="3:19">
      <c r="C117" s="16"/>
      <c r="D117" s="16"/>
      <c r="G117" s="17"/>
      <c r="K117" s="16"/>
      <c r="L117" s="16"/>
      <c r="M117" s="16"/>
      <c r="N117" s="16"/>
      <c r="O117" s="3"/>
      <c r="P117" s="3"/>
      <c r="Q117" s="3"/>
      <c r="R117" s="3"/>
      <c r="S117" s="16"/>
    </row>
    <row r="118" s="3" customFormat="1" spans="3:19">
      <c r="C118" s="16"/>
      <c r="D118" s="16"/>
      <c r="G118" s="17"/>
      <c r="K118" s="16"/>
      <c r="L118" s="16"/>
      <c r="M118" s="16"/>
      <c r="N118" s="16"/>
      <c r="O118" s="3"/>
      <c r="P118" s="3"/>
      <c r="Q118" s="3"/>
      <c r="R118" s="3"/>
      <c r="S118" s="16"/>
    </row>
    <row r="119" s="3" customFormat="1" spans="3:19">
      <c r="C119" s="16"/>
      <c r="D119" s="16"/>
      <c r="G119" s="17"/>
      <c r="K119" s="16"/>
      <c r="L119" s="16"/>
      <c r="M119" s="16"/>
      <c r="N119" s="16"/>
      <c r="O119" s="3"/>
      <c r="P119" s="3"/>
      <c r="Q119" s="3"/>
      <c r="R119" s="3"/>
      <c r="S119" s="16"/>
    </row>
    <row r="120" s="3" customFormat="1" spans="3:19">
      <c r="C120" s="16"/>
      <c r="D120" s="16"/>
      <c r="G120" s="17"/>
      <c r="K120" s="16"/>
      <c r="L120" s="16"/>
      <c r="M120" s="16"/>
      <c r="N120" s="16"/>
      <c r="O120" s="3"/>
      <c r="P120" s="3"/>
      <c r="Q120" s="3"/>
      <c r="R120" s="3"/>
      <c r="S120" s="16"/>
    </row>
    <row r="121" s="3" customFormat="1" spans="3:19">
      <c r="C121" s="16"/>
      <c r="D121" s="16"/>
      <c r="G121" s="17"/>
      <c r="K121" s="16"/>
      <c r="L121" s="16"/>
      <c r="M121" s="16"/>
      <c r="N121" s="16"/>
      <c r="O121" s="3"/>
      <c r="P121" s="3"/>
      <c r="Q121" s="3"/>
      <c r="R121" s="3"/>
      <c r="S121" s="16"/>
    </row>
  </sheetData>
  <autoFilter xmlns:etc="http://www.wps.cn/officeDocument/2017/etCustomData" ref="A2:S116" etc:filterBottomFollowUsedRange="0">
    <filterColumn colId="12">
      <customFilters>
        <customFilter operator="equal" val="客户"/>
      </customFilters>
    </filterColumn>
    <extLst/>
  </autoFilter>
  <mergeCells count="19">
    <mergeCell ref="A1:S1"/>
    <mergeCell ref="B62:B63"/>
    <mergeCell ref="B96:B97"/>
    <mergeCell ref="C62:C63"/>
    <mergeCell ref="C96:C97"/>
    <mergeCell ref="D62:D63"/>
    <mergeCell ref="D96:D97"/>
    <mergeCell ref="E62:E63"/>
    <mergeCell ref="E96:E97"/>
    <mergeCell ref="F62:F63"/>
    <mergeCell ref="F96:F97"/>
    <mergeCell ref="G62:G63"/>
    <mergeCell ref="G96:G97"/>
    <mergeCell ref="H62:H63"/>
    <mergeCell ref="H96:H97"/>
    <mergeCell ref="I62:I63"/>
    <mergeCell ref="I96:I97"/>
    <mergeCell ref="O96:O97"/>
    <mergeCell ref="P96:P97"/>
  </mergeCells>
  <conditionalFormatting sqref="K116">
    <cfRule type="expression" dxfId="1" priority="4">
      <formula>$K116="已完成"</formula>
    </cfRule>
    <cfRule type="expression" dxfId="0" priority="3">
      <formula>OR($K116="延期",AND(#REF!="严重",$K116=""))</formula>
    </cfRule>
  </conditionalFormatting>
  <conditionalFormatting sqref="L116">
    <cfRule type="expression" dxfId="1" priority="2">
      <formula>$K116="已完成"</formula>
    </cfRule>
    <cfRule type="expression" dxfId="0" priority="1">
      <formula>OR($K116="延期",AND(#REF!="严重",$K116=""))</formula>
    </cfRule>
  </conditionalFormatting>
  <conditionalFormatting sqref="K3:K15">
    <cfRule type="expression" dxfId="1" priority="8">
      <formula>$K3="已完成"</formula>
    </cfRule>
    <cfRule type="expression" dxfId="0" priority="7">
      <formula>OR($K3="延期",AND(#REF!="严重",$K3=""))</formula>
    </cfRule>
  </conditionalFormatting>
  <conditionalFormatting sqref="L3:L15">
    <cfRule type="expression" dxfId="1" priority="6">
      <formula>$K3="已完成"</formula>
    </cfRule>
    <cfRule type="expression" dxfId="0" priority="5">
      <formula>OR($K3="延期",AND(#REF!="严重",$K3=""))</formula>
    </cfRule>
  </conditionalFormatting>
  <dataValidations count="1">
    <dataValidation allowBlank="1" showInputMessage="1" showErrorMessage="1" sqref="K116:L116 K3:L15"/>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S145"/>
  <sheetViews>
    <sheetView workbookViewId="0">
      <pane xSplit="1" ySplit="2" topLeftCell="B3" activePane="bottomRight" state="frozen"/>
      <selection/>
      <selection pane="topRight"/>
      <selection pane="bottomLeft"/>
      <selection pane="bottomRight" activeCell="D9" sqref="D9"/>
    </sheetView>
  </sheetViews>
  <sheetFormatPr defaultColWidth="11" defaultRowHeight="13.5"/>
  <cols>
    <col min="1" max="2" width="11" style="192"/>
    <col min="3" max="3" width="11" style="195"/>
    <col min="4" max="4" width="21.2166666666667" style="195" customWidth="1"/>
    <col min="5" max="5" width="14.1666666666667" style="192" customWidth="1"/>
    <col min="6" max="6" width="11" style="192"/>
    <col min="7" max="7" width="12.3583333333333" style="196" customWidth="1"/>
    <col min="8" max="8" width="11.2083333333333" style="192"/>
    <col min="9" max="10" width="11" style="192"/>
    <col min="11" max="11" width="31.6416666666667" style="195" customWidth="1"/>
    <col min="12" max="12" width="40.6416666666667" style="195" customWidth="1"/>
    <col min="13" max="14" width="9.1" style="195"/>
    <col min="15" max="15" width="15" style="192" customWidth="1"/>
    <col min="16" max="16" width="10.6416666666667" style="192" customWidth="1"/>
    <col min="17" max="18" width="9.1" style="192"/>
    <col min="19" max="19" width="17.425" style="195" customWidth="1"/>
    <col min="20" max="16384" width="11" style="192"/>
  </cols>
  <sheetData>
    <row r="1" s="1" customFormat="1" ht="31.5" spans="1:19">
      <c r="A1" s="6" t="s">
        <v>404</v>
      </c>
      <c r="B1" s="7"/>
      <c r="C1" s="8"/>
      <c r="D1" s="8"/>
      <c r="E1" s="7"/>
      <c r="F1" s="7"/>
      <c r="G1" s="9"/>
      <c r="H1" s="7"/>
      <c r="I1" s="7"/>
      <c r="J1" s="7"/>
      <c r="K1" s="7"/>
      <c r="L1" s="7"/>
      <c r="M1" s="7"/>
      <c r="N1" s="7"/>
      <c r="O1" s="7"/>
      <c r="P1" s="7"/>
      <c r="Q1" s="7"/>
      <c r="R1" s="7"/>
      <c r="S1" s="20"/>
    </row>
    <row r="2" s="1" customFormat="1" ht="42.75" spans="1:19">
      <c r="A2" s="10" t="s">
        <v>1</v>
      </c>
      <c r="B2" s="11" t="s">
        <v>2</v>
      </c>
      <c r="C2" s="11" t="s">
        <v>3</v>
      </c>
      <c r="D2" s="12" t="s">
        <v>4</v>
      </c>
      <c r="E2" s="10" t="s">
        <v>5</v>
      </c>
      <c r="F2" s="11" t="s">
        <v>6</v>
      </c>
      <c r="G2" s="12" t="s">
        <v>7</v>
      </c>
      <c r="H2" s="11" t="s">
        <v>8</v>
      </c>
      <c r="I2" s="11" t="s">
        <v>9</v>
      </c>
      <c r="J2" s="11" t="s">
        <v>10</v>
      </c>
      <c r="K2" s="18" t="s">
        <v>11</v>
      </c>
      <c r="L2" s="18" t="s">
        <v>12</v>
      </c>
      <c r="M2" s="18" t="s">
        <v>13</v>
      </c>
      <c r="N2" s="18" t="s">
        <v>14</v>
      </c>
      <c r="O2" s="18" t="s">
        <v>15</v>
      </c>
      <c r="P2" s="18" t="s">
        <v>16</v>
      </c>
      <c r="Q2" s="18" t="s">
        <v>17</v>
      </c>
      <c r="R2" s="18" t="s">
        <v>18</v>
      </c>
      <c r="S2" s="18" t="s">
        <v>19</v>
      </c>
    </row>
    <row r="3" s="81" customFormat="1" ht="27" hidden="1" spans="1:19">
      <c r="A3" s="85" t="s">
        <v>20</v>
      </c>
      <c r="B3" s="85" t="s">
        <v>21</v>
      </c>
      <c r="C3" s="85" t="s">
        <v>22</v>
      </c>
      <c r="D3" s="85" t="s">
        <v>23</v>
      </c>
      <c r="E3" s="85" t="s">
        <v>24</v>
      </c>
      <c r="F3" s="85">
        <v>77</v>
      </c>
      <c r="G3" s="85">
        <v>2024.9</v>
      </c>
      <c r="H3" s="85">
        <v>22</v>
      </c>
      <c r="I3" s="85">
        <v>77</v>
      </c>
      <c r="J3" s="85" t="s">
        <v>25</v>
      </c>
      <c r="K3" s="29" t="s">
        <v>26</v>
      </c>
      <c r="L3" s="29" t="s">
        <v>27</v>
      </c>
      <c r="M3" s="43" t="s">
        <v>28</v>
      </c>
      <c r="N3" s="100" t="s">
        <v>29</v>
      </c>
      <c r="O3" s="101" t="s">
        <v>30</v>
      </c>
      <c r="P3" s="101" t="s">
        <v>31</v>
      </c>
      <c r="Q3" s="100"/>
      <c r="R3" s="100"/>
      <c r="S3" s="100"/>
    </row>
    <row r="4" s="81" customFormat="1" ht="27" hidden="1" spans="1:19">
      <c r="A4" s="85" t="s">
        <v>20</v>
      </c>
      <c r="B4" s="85" t="s">
        <v>21</v>
      </c>
      <c r="C4" s="85" t="s">
        <v>22</v>
      </c>
      <c r="D4" s="85" t="s">
        <v>23</v>
      </c>
      <c r="E4" s="85" t="s">
        <v>24</v>
      </c>
      <c r="F4" s="85">
        <v>77</v>
      </c>
      <c r="G4" s="85">
        <v>2024.9</v>
      </c>
      <c r="H4" s="85">
        <v>22</v>
      </c>
      <c r="I4" s="85">
        <v>77</v>
      </c>
      <c r="J4" s="85" t="s">
        <v>25</v>
      </c>
      <c r="K4" s="29" t="s">
        <v>32</v>
      </c>
      <c r="L4" s="29" t="s">
        <v>33</v>
      </c>
      <c r="M4" s="43" t="s">
        <v>28</v>
      </c>
      <c r="N4" s="100" t="s">
        <v>29</v>
      </c>
      <c r="O4" s="101" t="s">
        <v>30</v>
      </c>
      <c r="P4" s="101" t="s">
        <v>31</v>
      </c>
      <c r="Q4" s="100"/>
      <c r="R4" s="100"/>
      <c r="S4" s="100"/>
    </row>
    <row r="5" s="81" customFormat="1" ht="27" hidden="1" spans="1:19">
      <c r="A5" s="85" t="s">
        <v>20</v>
      </c>
      <c r="B5" s="85" t="s">
        <v>21</v>
      </c>
      <c r="C5" s="85" t="s">
        <v>22</v>
      </c>
      <c r="D5" s="85" t="s">
        <v>23</v>
      </c>
      <c r="E5" s="85" t="s">
        <v>24</v>
      </c>
      <c r="F5" s="85">
        <v>77</v>
      </c>
      <c r="G5" s="85">
        <v>2024.9</v>
      </c>
      <c r="H5" s="85">
        <v>22</v>
      </c>
      <c r="I5" s="85">
        <v>77</v>
      </c>
      <c r="J5" s="85" t="s">
        <v>25</v>
      </c>
      <c r="K5" s="29" t="s">
        <v>34</v>
      </c>
      <c r="L5" s="29" t="s">
        <v>35</v>
      </c>
      <c r="M5" s="45" t="s">
        <v>36</v>
      </c>
      <c r="N5" s="100" t="s">
        <v>37</v>
      </c>
      <c r="O5" s="101" t="s">
        <v>30</v>
      </c>
      <c r="P5" s="101" t="s">
        <v>31</v>
      </c>
      <c r="Q5" s="100"/>
      <c r="R5" s="100"/>
      <c r="S5" s="100"/>
    </row>
    <row r="6" s="81" customFormat="1" ht="27" hidden="1" spans="1:19">
      <c r="A6" s="85" t="s">
        <v>20</v>
      </c>
      <c r="B6" s="85" t="s">
        <v>21</v>
      </c>
      <c r="C6" s="85" t="s">
        <v>22</v>
      </c>
      <c r="D6" s="85" t="s">
        <v>23</v>
      </c>
      <c r="E6" s="85" t="s">
        <v>24</v>
      </c>
      <c r="F6" s="85">
        <v>77</v>
      </c>
      <c r="G6" s="85">
        <v>2024.9</v>
      </c>
      <c r="H6" s="85">
        <v>22</v>
      </c>
      <c r="I6" s="85">
        <v>77</v>
      </c>
      <c r="J6" s="85" t="s">
        <v>25</v>
      </c>
      <c r="K6" s="29" t="s">
        <v>38</v>
      </c>
      <c r="L6" s="29" t="s">
        <v>39</v>
      </c>
      <c r="M6" s="45" t="s">
        <v>36</v>
      </c>
      <c r="N6" s="100" t="s">
        <v>37</v>
      </c>
      <c r="O6" s="101" t="s">
        <v>30</v>
      </c>
      <c r="P6" s="101" t="s">
        <v>31</v>
      </c>
      <c r="Q6" s="100"/>
      <c r="R6" s="100"/>
      <c r="S6" s="100"/>
    </row>
    <row r="7" s="81" customFormat="1" ht="27" hidden="1" spans="1:19">
      <c r="A7" s="85" t="s">
        <v>20</v>
      </c>
      <c r="B7" s="85" t="s">
        <v>21</v>
      </c>
      <c r="C7" s="85" t="s">
        <v>22</v>
      </c>
      <c r="D7" s="85" t="s">
        <v>23</v>
      </c>
      <c r="E7" s="85" t="s">
        <v>24</v>
      </c>
      <c r="F7" s="85">
        <v>77</v>
      </c>
      <c r="G7" s="85">
        <v>2024.9</v>
      </c>
      <c r="H7" s="85">
        <v>22</v>
      </c>
      <c r="I7" s="85">
        <v>77</v>
      </c>
      <c r="J7" s="85" t="s">
        <v>25</v>
      </c>
      <c r="K7" s="29" t="s">
        <v>40</v>
      </c>
      <c r="L7" s="29" t="s">
        <v>41</v>
      </c>
      <c r="M7" s="45" t="s">
        <v>36</v>
      </c>
      <c r="N7" s="100" t="s">
        <v>37</v>
      </c>
      <c r="O7" s="101" t="s">
        <v>30</v>
      </c>
      <c r="P7" s="101" t="s">
        <v>31</v>
      </c>
      <c r="Q7" s="100"/>
      <c r="R7" s="100"/>
      <c r="S7" s="100"/>
    </row>
    <row r="8" s="81" customFormat="1" ht="36" spans="1:19">
      <c r="A8" s="24" t="s">
        <v>20</v>
      </c>
      <c r="B8" s="24" t="s">
        <v>21</v>
      </c>
      <c r="C8" s="24" t="s">
        <v>22</v>
      </c>
      <c r="D8" s="24" t="s">
        <v>23</v>
      </c>
      <c r="E8" s="24" t="s">
        <v>24</v>
      </c>
      <c r="F8" s="24">
        <v>77</v>
      </c>
      <c r="G8" s="24">
        <v>2024.9</v>
      </c>
      <c r="H8" s="24">
        <v>22</v>
      </c>
      <c r="I8" s="24">
        <v>77</v>
      </c>
      <c r="J8" s="24" t="s">
        <v>25</v>
      </c>
      <c r="K8" s="29" t="s">
        <v>42</v>
      </c>
      <c r="L8" s="29" t="s">
        <v>43</v>
      </c>
      <c r="M8" s="15" t="s">
        <v>44</v>
      </c>
      <c r="N8" s="30" t="s">
        <v>45</v>
      </c>
      <c r="O8" s="75" t="s">
        <v>30</v>
      </c>
      <c r="P8" s="75" t="s">
        <v>31</v>
      </c>
      <c r="Q8" s="30"/>
      <c r="R8" s="30"/>
      <c r="S8" s="30"/>
    </row>
    <row r="9" s="81" customFormat="1" ht="36" spans="1:19">
      <c r="A9" s="24" t="s">
        <v>20</v>
      </c>
      <c r="B9" s="24" t="s">
        <v>21</v>
      </c>
      <c r="C9" s="24" t="s">
        <v>22</v>
      </c>
      <c r="D9" s="24" t="s">
        <v>23</v>
      </c>
      <c r="E9" s="24" t="s">
        <v>24</v>
      </c>
      <c r="F9" s="24">
        <v>77</v>
      </c>
      <c r="G9" s="24">
        <v>2024.9</v>
      </c>
      <c r="H9" s="24">
        <v>22</v>
      </c>
      <c r="I9" s="24">
        <v>77</v>
      </c>
      <c r="J9" s="24" t="s">
        <v>25</v>
      </c>
      <c r="K9" s="29" t="s">
        <v>46</v>
      </c>
      <c r="L9" s="29" t="s">
        <v>47</v>
      </c>
      <c r="M9" s="15" t="s">
        <v>44</v>
      </c>
      <c r="N9" s="30" t="s">
        <v>45</v>
      </c>
      <c r="O9" s="75" t="s">
        <v>30</v>
      </c>
      <c r="P9" s="75" t="s">
        <v>31</v>
      </c>
      <c r="Q9" s="30"/>
      <c r="R9" s="30"/>
      <c r="S9" s="30"/>
    </row>
    <row r="10" s="81" customFormat="1" ht="24" spans="1:19">
      <c r="A10" s="24" t="s">
        <v>20</v>
      </c>
      <c r="B10" s="24" t="s">
        <v>21</v>
      </c>
      <c r="C10" s="24" t="s">
        <v>22</v>
      </c>
      <c r="D10" s="24" t="s">
        <v>23</v>
      </c>
      <c r="E10" s="24" t="s">
        <v>24</v>
      </c>
      <c r="F10" s="24">
        <v>77</v>
      </c>
      <c r="G10" s="24">
        <v>2024.9</v>
      </c>
      <c r="H10" s="24">
        <v>22</v>
      </c>
      <c r="I10" s="24">
        <v>77</v>
      </c>
      <c r="J10" s="24" t="s">
        <v>25</v>
      </c>
      <c r="K10" s="29" t="s">
        <v>48</v>
      </c>
      <c r="L10" s="29" t="s">
        <v>49</v>
      </c>
      <c r="M10" s="15" t="s">
        <v>44</v>
      </c>
      <c r="N10" s="30" t="s">
        <v>45</v>
      </c>
      <c r="O10" s="75" t="s">
        <v>30</v>
      </c>
      <c r="P10" s="75" t="s">
        <v>31</v>
      </c>
      <c r="Q10" s="30"/>
      <c r="R10" s="30"/>
      <c r="S10" s="30"/>
    </row>
    <row r="11" s="81" customFormat="1" ht="27" hidden="1" spans="1:19">
      <c r="A11" s="85" t="s">
        <v>20</v>
      </c>
      <c r="B11" s="85" t="s">
        <v>21</v>
      </c>
      <c r="C11" s="85" t="s">
        <v>22</v>
      </c>
      <c r="D11" s="85" t="s">
        <v>23</v>
      </c>
      <c r="E11" s="85" t="s">
        <v>24</v>
      </c>
      <c r="F11" s="85">
        <v>77</v>
      </c>
      <c r="G11" s="85">
        <v>2024.9</v>
      </c>
      <c r="H11" s="85">
        <v>22</v>
      </c>
      <c r="I11" s="85">
        <v>77</v>
      </c>
      <c r="J11" s="85" t="s">
        <v>25</v>
      </c>
      <c r="K11" s="29" t="s">
        <v>50</v>
      </c>
      <c r="L11" s="29" t="s">
        <v>51</v>
      </c>
      <c r="M11" s="45" t="s">
        <v>52</v>
      </c>
      <c r="N11" s="100" t="s">
        <v>53</v>
      </c>
      <c r="O11" s="101" t="s">
        <v>30</v>
      </c>
      <c r="P11" s="101" t="s">
        <v>31</v>
      </c>
      <c r="Q11" s="100"/>
      <c r="R11" s="100"/>
      <c r="S11" s="100"/>
    </row>
    <row r="12" s="81" customFormat="1" ht="24" spans="1:19">
      <c r="A12" s="24" t="s">
        <v>20</v>
      </c>
      <c r="B12" s="24" t="s">
        <v>21</v>
      </c>
      <c r="C12" s="24" t="s">
        <v>22</v>
      </c>
      <c r="D12" s="24" t="s">
        <v>23</v>
      </c>
      <c r="E12" s="24" t="s">
        <v>24</v>
      </c>
      <c r="F12" s="24">
        <v>77</v>
      </c>
      <c r="G12" s="24">
        <v>2024.9</v>
      </c>
      <c r="H12" s="24">
        <v>22</v>
      </c>
      <c r="I12" s="24">
        <v>77</v>
      </c>
      <c r="J12" s="24" t="s">
        <v>25</v>
      </c>
      <c r="K12" s="29" t="s">
        <v>54</v>
      </c>
      <c r="L12" s="29" t="s">
        <v>55</v>
      </c>
      <c r="M12" s="15" t="s">
        <v>44</v>
      </c>
      <c r="N12" s="30" t="s">
        <v>45</v>
      </c>
      <c r="O12" s="75" t="s">
        <v>30</v>
      </c>
      <c r="P12" s="75" t="s">
        <v>31</v>
      </c>
      <c r="Q12" s="30"/>
      <c r="R12" s="30"/>
      <c r="S12" s="30"/>
    </row>
    <row r="13" s="81" customFormat="1" ht="24" spans="1:19">
      <c r="A13" s="24" t="s">
        <v>20</v>
      </c>
      <c r="B13" s="24" t="s">
        <v>21</v>
      </c>
      <c r="C13" s="24" t="s">
        <v>22</v>
      </c>
      <c r="D13" s="24" t="s">
        <v>23</v>
      </c>
      <c r="E13" s="24" t="s">
        <v>24</v>
      </c>
      <c r="F13" s="24">
        <v>77</v>
      </c>
      <c r="G13" s="24">
        <v>2024.9</v>
      </c>
      <c r="H13" s="24">
        <v>22</v>
      </c>
      <c r="I13" s="24">
        <v>77</v>
      </c>
      <c r="J13" s="24" t="s">
        <v>25</v>
      </c>
      <c r="K13" s="29" t="s">
        <v>56</v>
      </c>
      <c r="L13" s="29" t="s">
        <v>57</v>
      </c>
      <c r="M13" s="15" t="s">
        <v>44</v>
      </c>
      <c r="N13" s="30" t="s">
        <v>45</v>
      </c>
      <c r="O13" s="75" t="s">
        <v>30</v>
      </c>
      <c r="P13" s="75" t="s">
        <v>31</v>
      </c>
      <c r="Q13" s="30"/>
      <c r="R13" s="30"/>
      <c r="S13" s="30"/>
    </row>
    <row r="14" s="81" customFormat="1" ht="24" spans="1:19">
      <c r="A14" s="24" t="s">
        <v>20</v>
      </c>
      <c r="B14" s="24" t="s">
        <v>21</v>
      </c>
      <c r="C14" s="24" t="s">
        <v>22</v>
      </c>
      <c r="D14" s="24" t="s">
        <v>23</v>
      </c>
      <c r="E14" s="24" t="s">
        <v>24</v>
      </c>
      <c r="F14" s="24">
        <v>77</v>
      </c>
      <c r="G14" s="24">
        <v>2024.9</v>
      </c>
      <c r="H14" s="24">
        <v>22</v>
      </c>
      <c r="I14" s="24">
        <v>77</v>
      </c>
      <c r="J14" s="24" t="s">
        <v>25</v>
      </c>
      <c r="K14" s="29" t="s">
        <v>58</v>
      </c>
      <c r="L14" s="29" t="s">
        <v>59</v>
      </c>
      <c r="M14" s="15" t="s">
        <v>44</v>
      </c>
      <c r="N14" s="30" t="s">
        <v>45</v>
      </c>
      <c r="O14" s="75" t="s">
        <v>30</v>
      </c>
      <c r="P14" s="75" t="s">
        <v>31</v>
      </c>
      <c r="Q14" s="30"/>
      <c r="R14" s="30"/>
      <c r="S14" s="30"/>
    </row>
    <row r="15" s="81" customFormat="1" ht="36" hidden="1" spans="1:19">
      <c r="A15" s="85" t="s">
        <v>20</v>
      </c>
      <c r="B15" s="85" t="s">
        <v>21</v>
      </c>
      <c r="C15" s="85" t="s">
        <v>22</v>
      </c>
      <c r="D15" s="85" t="s">
        <v>23</v>
      </c>
      <c r="E15" s="85" t="s">
        <v>24</v>
      </c>
      <c r="F15" s="85">
        <v>77</v>
      </c>
      <c r="G15" s="85">
        <v>2024.9</v>
      </c>
      <c r="H15" s="85">
        <v>22</v>
      </c>
      <c r="I15" s="85">
        <v>77</v>
      </c>
      <c r="J15" s="85" t="s">
        <v>25</v>
      </c>
      <c r="K15" s="29" t="s">
        <v>60</v>
      </c>
      <c r="L15" s="29" t="s">
        <v>61</v>
      </c>
      <c r="M15" s="45" t="s">
        <v>36</v>
      </c>
      <c r="N15" s="100" t="s">
        <v>37</v>
      </c>
      <c r="O15" s="101" t="s">
        <v>30</v>
      </c>
      <c r="P15" s="101" t="s">
        <v>31</v>
      </c>
      <c r="Q15" s="100"/>
      <c r="R15" s="100"/>
      <c r="S15" s="100"/>
    </row>
    <row r="16" s="2" customFormat="1" ht="27" hidden="1" spans="1:19">
      <c r="A16" s="32" t="s">
        <v>62</v>
      </c>
      <c r="B16" s="32" t="s">
        <v>63</v>
      </c>
      <c r="C16" s="32" t="s">
        <v>64</v>
      </c>
      <c r="D16" s="160" t="s">
        <v>65</v>
      </c>
      <c r="E16" s="160" t="s">
        <v>66</v>
      </c>
      <c r="F16" s="160">
        <v>1</v>
      </c>
      <c r="G16" s="160">
        <v>2024.6</v>
      </c>
      <c r="H16" s="160">
        <v>29</v>
      </c>
      <c r="I16" s="160">
        <v>1</v>
      </c>
      <c r="J16" s="33" t="s">
        <v>67</v>
      </c>
      <c r="K16" s="36" t="s">
        <v>68</v>
      </c>
      <c r="L16" s="37" t="s">
        <v>69</v>
      </c>
      <c r="M16" s="43" t="s">
        <v>70</v>
      </c>
      <c r="N16" s="100" t="s">
        <v>71</v>
      </c>
      <c r="O16" s="38" t="s">
        <v>72</v>
      </c>
      <c r="P16" s="38" t="s">
        <v>73</v>
      </c>
      <c r="Q16" s="128"/>
      <c r="R16" s="128"/>
      <c r="S16" s="106"/>
    </row>
    <row r="17" s="2" customFormat="1" ht="54" hidden="1" spans="1:19">
      <c r="A17" s="32" t="s">
        <v>62</v>
      </c>
      <c r="B17" s="32" t="s">
        <v>63</v>
      </c>
      <c r="C17" s="32" t="s">
        <v>64</v>
      </c>
      <c r="D17" s="87"/>
      <c r="E17" s="87"/>
      <c r="F17" s="87"/>
      <c r="G17" s="87"/>
      <c r="H17" s="87"/>
      <c r="I17" s="87"/>
      <c r="J17" s="33" t="s">
        <v>67</v>
      </c>
      <c r="K17" s="36" t="s">
        <v>74</v>
      </c>
      <c r="L17" s="37" t="s">
        <v>75</v>
      </c>
      <c r="M17" s="43" t="s">
        <v>70</v>
      </c>
      <c r="N17" s="100" t="s">
        <v>71</v>
      </c>
      <c r="O17" s="38" t="s">
        <v>72</v>
      </c>
      <c r="P17" s="38" t="s">
        <v>73</v>
      </c>
      <c r="Q17" s="128"/>
      <c r="R17" s="128"/>
      <c r="S17" s="106"/>
    </row>
    <row r="18" s="2" customFormat="1" ht="54" hidden="1" spans="1:19">
      <c r="A18" s="32" t="s">
        <v>62</v>
      </c>
      <c r="B18" s="32" t="s">
        <v>63</v>
      </c>
      <c r="C18" s="32" t="s">
        <v>64</v>
      </c>
      <c r="D18" s="88" t="s">
        <v>76</v>
      </c>
      <c r="E18" s="88" t="s">
        <v>77</v>
      </c>
      <c r="F18" s="88">
        <v>1</v>
      </c>
      <c r="G18" s="88">
        <v>2024.6</v>
      </c>
      <c r="H18" s="88">
        <v>29</v>
      </c>
      <c r="I18" s="88">
        <v>1</v>
      </c>
      <c r="J18" s="33" t="s">
        <v>67</v>
      </c>
      <c r="K18" s="36" t="s">
        <v>78</v>
      </c>
      <c r="L18" s="37" t="s">
        <v>79</v>
      </c>
      <c r="M18" s="45" t="s">
        <v>36</v>
      </c>
      <c r="N18" s="100" t="s">
        <v>37</v>
      </c>
      <c r="O18" s="38" t="s">
        <v>72</v>
      </c>
      <c r="P18" s="38" t="s">
        <v>73</v>
      </c>
      <c r="Q18" s="43"/>
      <c r="R18" s="43"/>
      <c r="S18" s="45"/>
    </row>
    <row r="19" s="2" customFormat="1" ht="27" hidden="1" spans="1:19">
      <c r="A19" s="32" t="s">
        <v>62</v>
      </c>
      <c r="B19" s="32" t="s">
        <v>63</v>
      </c>
      <c r="C19" s="32" t="s">
        <v>64</v>
      </c>
      <c r="D19" s="88" t="s">
        <v>80</v>
      </c>
      <c r="E19" s="88" t="s">
        <v>81</v>
      </c>
      <c r="F19" s="88">
        <v>1</v>
      </c>
      <c r="G19" s="88">
        <v>2024.7</v>
      </c>
      <c r="H19" s="88">
        <v>19</v>
      </c>
      <c r="I19" s="88">
        <v>1</v>
      </c>
      <c r="J19" s="33" t="s">
        <v>67</v>
      </c>
      <c r="K19" s="36" t="s">
        <v>82</v>
      </c>
      <c r="L19" s="37" t="s">
        <v>83</v>
      </c>
      <c r="M19" s="43" t="s">
        <v>84</v>
      </c>
      <c r="N19" s="43" t="s">
        <v>84</v>
      </c>
      <c r="O19" s="38" t="s">
        <v>72</v>
      </c>
      <c r="P19" s="38" t="s">
        <v>73</v>
      </c>
      <c r="Q19" s="43"/>
      <c r="R19" s="43"/>
      <c r="S19" s="45"/>
    </row>
    <row r="20" s="2" customFormat="1" ht="27" hidden="1" spans="1:19">
      <c r="A20" s="32" t="s">
        <v>62</v>
      </c>
      <c r="B20" s="32" t="s">
        <v>63</v>
      </c>
      <c r="C20" s="32" t="s">
        <v>64</v>
      </c>
      <c r="D20" s="197" t="s">
        <v>85</v>
      </c>
      <c r="E20" s="197" t="s">
        <v>86</v>
      </c>
      <c r="F20" s="197">
        <v>1</v>
      </c>
      <c r="G20" s="197">
        <v>2025.3</v>
      </c>
      <c r="H20" s="197">
        <v>21</v>
      </c>
      <c r="I20" s="197">
        <v>1</v>
      </c>
      <c r="J20" s="33" t="s">
        <v>67</v>
      </c>
      <c r="K20" s="108" t="s">
        <v>87</v>
      </c>
      <c r="L20" s="109" t="s">
        <v>88</v>
      </c>
      <c r="M20" s="99" t="s">
        <v>36</v>
      </c>
      <c r="N20" s="103" t="s">
        <v>37</v>
      </c>
      <c r="O20" s="38" t="s">
        <v>72</v>
      </c>
      <c r="P20" s="38" t="s">
        <v>73</v>
      </c>
      <c r="Q20" s="44"/>
      <c r="R20" s="44"/>
      <c r="S20" s="99"/>
    </row>
    <row r="21" s="192" customFormat="1" ht="48" spans="1:19">
      <c r="A21" s="52" t="s">
        <v>62</v>
      </c>
      <c r="B21" s="52" t="s">
        <v>63</v>
      </c>
      <c r="C21" s="52" t="s">
        <v>64</v>
      </c>
      <c r="D21" s="15" t="s">
        <v>89</v>
      </c>
      <c r="E21" s="15" t="s">
        <v>90</v>
      </c>
      <c r="F21" s="14">
        <v>1</v>
      </c>
      <c r="G21" s="14">
        <v>2024.5</v>
      </c>
      <c r="H21" s="14">
        <v>13</v>
      </c>
      <c r="I21" s="14">
        <v>1</v>
      </c>
      <c r="J21" s="24" t="s">
        <v>67</v>
      </c>
      <c r="K21" s="15" t="s">
        <v>91</v>
      </c>
      <c r="L21" s="15" t="s">
        <v>92</v>
      </c>
      <c r="M21" s="15" t="s">
        <v>44</v>
      </c>
      <c r="N21" s="30" t="s">
        <v>45</v>
      </c>
      <c r="O21" s="75" t="s">
        <v>72</v>
      </c>
      <c r="P21" s="75" t="s">
        <v>73</v>
      </c>
      <c r="Q21" s="14"/>
      <c r="R21" s="14"/>
      <c r="S21" s="15"/>
    </row>
    <row r="22" s="192" customFormat="1" ht="24" spans="1:19">
      <c r="A22" s="52" t="s">
        <v>62</v>
      </c>
      <c r="B22" s="52" t="s">
        <v>63</v>
      </c>
      <c r="C22" s="52" t="s">
        <v>64</v>
      </c>
      <c r="D22" s="15" t="s">
        <v>93</v>
      </c>
      <c r="E22" s="15" t="s">
        <v>94</v>
      </c>
      <c r="F22" s="14">
        <v>4</v>
      </c>
      <c r="G22" s="14">
        <v>2025.4</v>
      </c>
      <c r="H22" s="14">
        <v>3</v>
      </c>
      <c r="I22" s="14">
        <v>4</v>
      </c>
      <c r="J22" s="24" t="s">
        <v>67</v>
      </c>
      <c r="K22" s="15" t="s">
        <v>95</v>
      </c>
      <c r="L22" s="15" t="s">
        <v>96</v>
      </c>
      <c r="M22" s="15" t="s">
        <v>97</v>
      </c>
      <c r="N22" s="30" t="s">
        <v>98</v>
      </c>
      <c r="O22" s="75" t="s">
        <v>72</v>
      </c>
      <c r="P22" s="75" t="s">
        <v>73</v>
      </c>
      <c r="Q22" s="14"/>
      <c r="R22" s="14"/>
      <c r="S22" s="15"/>
    </row>
    <row r="23" s="2" customFormat="1" ht="148.5" hidden="1" spans="1:19">
      <c r="A23" s="86" t="s">
        <v>62</v>
      </c>
      <c r="B23" s="86" t="s">
        <v>63</v>
      </c>
      <c r="C23" s="86" t="s">
        <v>64</v>
      </c>
      <c r="D23" s="91" t="s">
        <v>99</v>
      </c>
      <c r="E23" s="91" t="s">
        <v>100</v>
      </c>
      <c r="F23" s="91" t="s">
        <v>101</v>
      </c>
      <c r="G23" s="91">
        <v>2025.4</v>
      </c>
      <c r="H23" s="91">
        <v>8</v>
      </c>
      <c r="I23" s="91" t="s">
        <v>405</v>
      </c>
      <c r="J23" s="91" t="s">
        <v>67</v>
      </c>
      <c r="K23" s="104" t="s">
        <v>102</v>
      </c>
      <c r="L23" s="105" t="s">
        <v>103</v>
      </c>
      <c r="M23" s="112" t="s">
        <v>28</v>
      </c>
      <c r="N23" s="112" t="s">
        <v>29</v>
      </c>
      <c r="O23" s="38" t="s">
        <v>72</v>
      </c>
      <c r="P23" s="38" t="s">
        <v>73</v>
      </c>
      <c r="Q23" s="128"/>
      <c r="R23" s="129"/>
      <c r="S23" s="106"/>
    </row>
    <row r="24" s="2" customFormat="1" ht="54" hidden="1" spans="1:19">
      <c r="A24" s="32" t="s">
        <v>62</v>
      </c>
      <c r="B24" s="32" t="s">
        <v>63</v>
      </c>
      <c r="C24" s="32" t="s">
        <v>64</v>
      </c>
      <c r="D24" s="33" t="s">
        <v>99</v>
      </c>
      <c r="E24" s="33" t="s">
        <v>100</v>
      </c>
      <c r="F24" s="33" t="s">
        <v>101</v>
      </c>
      <c r="G24" s="33">
        <v>2025.4</v>
      </c>
      <c r="H24" s="33">
        <v>8</v>
      </c>
      <c r="I24" s="33" t="s">
        <v>101</v>
      </c>
      <c r="J24" s="33" t="s">
        <v>67</v>
      </c>
      <c r="K24" s="36" t="s">
        <v>104</v>
      </c>
      <c r="L24" s="37" t="s">
        <v>406</v>
      </c>
      <c r="M24" s="153" t="s">
        <v>70</v>
      </c>
      <c r="N24" s="153" t="s">
        <v>71</v>
      </c>
      <c r="O24" s="38" t="s">
        <v>72</v>
      </c>
      <c r="P24" s="38" t="s">
        <v>73</v>
      </c>
      <c r="Q24" s="43"/>
      <c r="R24" s="44"/>
      <c r="S24" s="45"/>
    </row>
    <row r="25" s="2" customFormat="1" ht="67.5" hidden="1" spans="1:19">
      <c r="A25" s="32" t="s">
        <v>62</v>
      </c>
      <c r="B25" s="32" t="s">
        <v>63</v>
      </c>
      <c r="C25" s="32" t="s">
        <v>64</v>
      </c>
      <c r="D25" s="33" t="s">
        <v>99</v>
      </c>
      <c r="E25" s="33" t="s">
        <v>100</v>
      </c>
      <c r="F25" s="33" t="s">
        <v>101</v>
      </c>
      <c r="G25" s="33">
        <v>2025.4</v>
      </c>
      <c r="H25" s="33">
        <v>8</v>
      </c>
      <c r="I25" s="33" t="s">
        <v>101</v>
      </c>
      <c r="J25" s="33" t="s">
        <v>67</v>
      </c>
      <c r="K25" s="36" t="s">
        <v>433</v>
      </c>
      <c r="L25" s="37" t="s">
        <v>408</v>
      </c>
      <c r="M25" s="37" t="s">
        <v>108</v>
      </c>
      <c r="N25" s="37" t="s">
        <v>109</v>
      </c>
      <c r="O25" s="38" t="s">
        <v>72</v>
      </c>
      <c r="P25" s="38" t="s">
        <v>73</v>
      </c>
      <c r="Q25" s="43"/>
      <c r="R25" s="44"/>
      <c r="S25" s="45"/>
    </row>
    <row r="26" s="2" customFormat="1" ht="81" hidden="1" spans="1:19">
      <c r="A26" s="32" t="s">
        <v>62</v>
      </c>
      <c r="B26" s="32" t="s">
        <v>63</v>
      </c>
      <c r="C26" s="32" t="s">
        <v>64</v>
      </c>
      <c r="D26" s="33" t="s">
        <v>99</v>
      </c>
      <c r="E26" s="33" t="s">
        <v>100</v>
      </c>
      <c r="F26" s="33" t="s">
        <v>101</v>
      </c>
      <c r="G26" s="33">
        <v>2025.4</v>
      </c>
      <c r="H26" s="33">
        <v>8</v>
      </c>
      <c r="I26" s="33" t="s">
        <v>101</v>
      </c>
      <c r="J26" s="33" t="s">
        <v>67</v>
      </c>
      <c r="K26" s="36" t="s">
        <v>409</v>
      </c>
      <c r="L26" s="37" t="s">
        <v>410</v>
      </c>
      <c r="M26" s="37" t="s">
        <v>108</v>
      </c>
      <c r="N26" s="37" t="s">
        <v>109</v>
      </c>
      <c r="O26" s="38" t="s">
        <v>72</v>
      </c>
      <c r="P26" s="38" t="s">
        <v>73</v>
      </c>
      <c r="Q26" s="43"/>
      <c r="R26" s="44"/>
      <c r="S26" s="45"/>
    </row>
    <row r="27" s="2" customFormat="1" ht="81" hidden="1" spans="1:19">
      <c r="A27" s="32" t="s">
        <v>62</v>
      </c>
      <c r="B27" s="32" t="s">
        <v>63</v>
      </c>
      <c r="C27" s="32" t="s">
        <v>64</v>
      </c>
      <c r="D27" s="33" t="s">
        <v>99</v>
      </c>
      <c r="E27" s="33" t="s">
        <v>100</v>
      </c>
      <c r="F27" s="33" t="s">
        <v>101</v>
      </c>
      <c r="G27" s="33">
        <v>2025.4</v>
      </c>
      <c r="H27" s="33">
        <v>8</v>
      </c>
      <c r="I27" s="33" t="s">
        <v>101</v>
      </c>
      <c r="J27" s="33" t="s">
        <v>67</v>
      </c>
      <c r="K27" s="36" t="s">
        <v>112</v>
      </c>
      <c r="L27" s="37" t="s">
        <v>113</v>
      </c>
      <c r="M27" s="37" t="s">
        <v>114</v>
      </c>
      <c r="N27" s="37" t="s">
        <v>115</v>
      </c>
      <c r="O27" s="38" t="s">
        <v>72</v>
      </c>
      <c r="P27" s="38" t="s">
        <v>73</v>
      </c>
      <c r="Q27" s="43"/>
      <c r="R27" s="44"/>
      <c r="S27" s="45"/>
    </row>
    <row r="28" s="2" customFormat="1" ht="54" hidden="1" spans="1:19">
      <c r="A28" s="32" t="s">
        <v>62</v>
      </c>
      <c r="B28" s="32" t="s">
        <v>63</v>
      </c>
      <c r="C28" s="32" t="s">
        <v>64</v>
      </c>
      <c r="D28" s="33" t="s">
        <v>99</v>
      </c>
      <c r="E28" s="33" t="s">
        <v>100</v>
      </c>
      <c r="F28" s="33" t="s">
        <v>101</v>
      </c>
      <c r="G28" s="33">
        <v>2025.4</v>
      </c>
      <c r="H28" s="33">
        <v>8</v>
      </c>
      <c r="I28" s="33" t="s">
        <v>101</v>
      </c>
      <c r="J28" s="33" t="s">
        <v>67</v>
      </c>
      <c r="K28" s="36" t="s">
        <v>411</v>
      </c>
      <c r="L28" s="37" t="s">
        <v>412</v>
      </c>
      <c r="M28" s="37" t="s">
        <v>118</v>
      </c>
      <c r="N28" s="37" t="s">
        <v>119</v>
      </c>
      <c r="O28" s="38" t="s">
        <v>72</v>
      </c>
      <c r="P28" s="38" t="s">
        <v>73</v>
      </c>
      <c r="Q28" s="43"/>
      <c r="R28" s="44"/>
      <c r="S28" s="45"/>
    </row>
    <row r="29" s="2" customFormat="1" ht="42.75" hidden="1" spans="1:19">
      <c r="A29" s="32" t="s">
        <v>62</v>
      </c>
      <c r="B29" s="32" t="s">
        <v>63</v>
      </c>
      <c r="C29" s="32" t="s">
        <v>64</v>
      </c>
      <c r="D29" s="33" t="s">
        <v>99</v>
      </c>
      <c r="E29" s="33" t="s">
        <v>100</v>
      </c>
      <c r="F29" s="33" t="s">
        <v>101</v>
      </c>
      <c r="G29" s="33">
        <v>2025.4</v>
      </c>
      <c r="H29" s="33">
        <v>8</v>
      </c>
      <c r="I29" s="33" t="s">
        <v>101</v>
      </c>
      <c r="J29" s="33" t="s">
        <v>67</v>
      </c>
      <c r="K29" s="108" t="s">
        <v>120</v>
      </c>
      <c r="L29" s="109" t="s">
        <v>121</v>
      </c>
      <c r="M29" s="109" t="s">
        <v>70</v>
      </c>
      <c r="N29" s="109" t="s">
        <v>122</v>
      </c>
      <c r="O29" s="38" t="s">
        <v>72</v>
      </c>
      <c r="P29" s="38" t="s">
        <v>73</v>
      </c>
      <c r="Q29" s="44"/>
      <c r="R29" s="44"/>
      <c r="S29" s="99"/>
    </row>
    <row r="30" s="192" customFormat="1" ht="36" spans="1:19">
      <c r="A30" s="52" t="s">
        <v>62</v>
      </c>
      <c r="B30" s="52" t="s">
        <v>63</v>
      </c>
      <c r="C30" s="52" t="s">
        <v>64</v>
      </c>
      <c r="D30" s="24" t="s">
        <v>99</v>
      </c>
      <c r="E30" s="24" t="s">
        <v>100</v>
      </c>
      <c r="F30" s="24" t="s">
        <v>101</v>
      </c>
      <c r="G30" s="24">
        <v>2025.4</v>
      </c>
      <c r="H30" s="24">
        <v>8</v>
      </c>
      <c r="I30" s="24" t="s">
        <v>101</v>
      </c>
      <c r="J30" s="24" t="s">
        <v>67</v>
      </c>
      <c r="K30" s="15" t="s">
        <v>123</v>
      </c>
      <c r="L30" s="15" t="s">
        <v>124</v>
      </c>
      <c r="M30" s="15" t="s">
        <v>125</v>
      </c>
      <c r="N30" s="15" t="s">
        <v>126</v>
      </c>
      <c r="O30" s="75" t="s">
        <v>72</v>
      </c>
      <c r="P30" s="75" t="s">
        <v>73</v>
      </c>
      <c r="Q30" s="14"/>
      <c r="R30" s="14"/>
      <c r="S30" s="15"/>
    </row>
    <row r="31" s="2" customFormat="1" ht="85.5" hidden="1" spans="1:19">
      <c r="A31" s="86" t="s">
        <v>62</v>
      </c>
      <c r="B31" s="86" t="s">
        <v>63</v>
      </c>
      <c r="C31" s="86" t="s">
        <v>64</v>
      </c>
      <c r="D31" s="91" t="s">
        <v>127</v>
      </c>
      <c r="E31" s="91" t="s">
        <v>128</v>
      </c>
      <c r="F31" s="91" t="s">
        <v>129</v>
      </c>
      <c r="G31" s="91">
        <v>2025.4</v>
      </c>
      <c r="H31" s="91">
        <v>14</v>
      </c>
      <c r="I31" s="91" t="s">
        <v>405</v>
      </c>
      <c r="J31" s="91" t="s">
        <v>67</v>
      </c>
      <c r="K31" s="104" t="s">
        <v>130</v>
      </c>
      <c r="L31" s="105" t="s">
        <v>131</v>
      </c>
      <c r="M31" s="105" t="s">
        <v>132</v>
      </c>
      <c r="N31" s="105" t="s">
        <v>133</v>
      </c>
      <c r="O31" s="38" t="s">
        <v>72</v>
      </c>
      <c r="P31" s="38" t="s">
        <v>73</v>
      </c>
      <c r="Q31" s="128"/>
      <c r="R31" s="129"/>
      <c r="S31" s="106"/>
    </row>
    <row r="32" s="2" customFormat="1" ht="85.5" hidden="1" spans="1:19">
      <c r="A32" s="32" t="s">
        <v>62</v>
      </c>
      <c r="B32" s="32" t="s">
        <v>63</v>
      </c>
      <c r="C32" s="32" t="s">
        <v>64</v>
      </c>
      <c r="D32" s="33" t="s">
        <v>127</v>
      </c>
      <c r="E32" s="33" t="s">
        <v>128</v>
      </c>
      <c r="F32" s="33" t="s">
        <v>129</v>
      </c>
      <c r="G32" s="33">
        <v>2025.4</v>
      </c>
      <c r="H32" s="33">
        <v>14</v>
      </c>
      <c r="I32" s="33" t="s">
        <v>129</v>
      </c>
      <c r="J32" s="33" t="s">
        <v>67</v>
      </c>
      <c r="K32" s="36" t="s">
        <v>134</v>
      </c>
      <c r="L32" s="37" t="s">
        <v>135</v>
      </c>
      <c r="M32" s="37"/>
      <c r="N32" s="37"/>
      <c r="O32" s="38" t="s">
        <v>72</v>
      </c>
      <c r="P32" s="38" t="s">
        <v>73</v>
      </c>
      <c r="Q32" s="43"/>
      <c r="R32" s="44"/>
      <c r="S32" s="45"/>
    </row>
    <row r="33" s="2" customFormat="1" ht="94.5" hidden="1" spans="1:19">
      <c r="A33" s="32" t="s">
        <v>62</v>
      </c>
      <c r="B33" s="32" t="s">
        <v>63</v>
      </c>
      <c r="C33" s="32" t="s">
        <v>64</v>
      </c>
      <c r="D33" s="33" t="s">
        <v>127</v>
      </c>
      <c r="E33" s="33" t="s">
        <v>128</v>
      </c>
      <c r="F33" s="33" t="s">
        <v>129</v>
      </c>
      <c r="G33" s="33">
        <v>2025.4</v>
      </c>
      <c r="H33" s="33">
        <v>14</v>
      </c>
      <c r="I33" s="33" t="s">
        <v>129</v>
      </c>
      <c r="J33" s="33" t="s">
        <v>67</v>
      </c>
      <c r="K33" s="36" t="s">
        <v>413</v>
      </c>
      <c r="L33" s="37" t="s">
        <v>414</v>
      </c>
      <c r="M33" s="37" t="s">
        <v>138</v>
      </c>
      <c r="N33" s="37" t="s">
        <v>139</v>
      </c>
      <c r="O33" s="38" t="s">
        <v>72</v>
      </c>
      <c r="P33" s="38" t="s">
        <v>73</v>
      </c>
      <c r="Q33" s="43"/>
      <c r="R33" s="44"/>
      <c r="S33" s="45"/>
    </row>
    <row r="34" s="2" customFormat="1" ht="85.5" hidden="1" spans="1:19">
      <c r="A34" s="32" t="s">
        <v>62</v>
      </c>
      <c r="B34" s="32" t="s">
        <v>63</v>
      </c>
      <c r="C34" s="32" t="s">
        <v>64</v>
      </c>
      <c r="D34" s="33" t="s">
        <v>127</v>
      </c>
      <c r="E34" s="33" t="s">
        <v>128</v>
      </c>
      <c r="F34" s="33" t="s">
        <v>129</v>
      </c>
      <c r="G34" s="33">
        <v>2025.4</v>
      </c>
      <c r="H34" s="33">
        <v>14</v>
      </c>
      <c r="I34" s="33" t="s">
        <v>129</v>
      </c>
      <c r="J34" s="33" t="s">
        <v>67</v>
      </c>
      <c r="K34" s="36" t="s">
        <v>140</v>
      </c>
      <c r="L34" s="37" t="s">
        <v>415</v>
      </c>
      <c r="M34" s="37" t="s">
        <v>132</v>
      </c>
      <c r="N34" s="37" t="s">
        <v>133</v>
      </c>
      <c r="O34" s="38" t="s">
        <v>72</v>
      </c>
      <c r="P34" s="38" t="s">
        <v>73</v>
      </c>
      <c r="Q34" s="43"/>
      <c r="R34" s="44"/>
      <c r="S34" s="45"/>
    </row>
    <row r="35" s="2" customFormat="1" ht="85.5" hidden="1" spans="1:19">
      <c r="A35" s="32" t="s">
        <v>62</v>
      </c>
      <c r="B35" s="32" t="s">
        <v>63</v>
      </c>
      <c r="C35" s="32" t="s">
        <v>64</v>
      </c>
      <c r="D35" s="33" t="s">
        <v>127</v>
      </c>
      <c r="E35" s="33" t="s">
        <v>128</v>
      </c>
      <c r="F35" s="33" t="s">
        <v>129</v>
      </c>
      <c r="G35" s="33">
        <v>2025.4</v>
      </c>
      <c r="H35" s="33">
        <v>14</v>
      </c>
      <c r="I35" s="33" t="s">
        <v>129</v>
      </c>
      <c r="J35" s="33" t="s">
        <v>67</v>
      </c>
      <c r="K35" s="36" t="s">
        <v>142</v>
      </c>
      <c r="L35" s="37" t="s">
        <v>143</v>
      </c>
      <c r="M35" s="37" t="s">
        <v>84</v>
      </c>
      <c r="N35" s="37" t="s">
        <v>84</v>
      </c>
      <c r="O35" s="38" t="s">
        <v>72</v>
      </c>
      <c r="P35" s="38" t="s">
        <v>73</v>
      </c>
      <c r="Q35" s="43"/>
      <c r="R35" s="44"/>
      <c r="S35" s="45"/>
    </row>
    <row r="36" s="2" customFormat="1" ht="85.5" hidden="1" spans="1:19">
      <c r="A36" s="32" t="s">
        <v>62</v>
      </c>
      <c r="B36" s="32" t="s">
        <v>63</v>
      </c>
      <c r="C36" s="32" t="s">
        <v>64</v>
      </c>
      <c r="D36" s="33" t="s">
        <v>127</v>
      </c>
      <c r="E36" s="33" t="s">
        <v>128</v>
      </c>
      <c r="F36" s="33" t="s">
        <v>129</v>
      </c>
      <c r="G36" s="33">
        <v>2025.4</v>
      </c>
      <c r="H36" s="33">
        <v>14</v>
      </c>
      <c r="I36" s="33" t="s">
        <v>129</v>
      </c>
      <c r="J36" s="33" t="s">
        <v>67</v>
      </c>
      <c r="K36" s="36" t="s">
        <v>416</v>
      </c>
      <c r="L36" s="37" t="s">
        <v>145</v>
      </c>
      <c r="M36" s="37" t="s">
        <v>28</v>
      </c>
      <c r="N36" s="37" t="s">
        <v>29</v>
      </c>
      <c r="O36" s="38" t="s">
        <v>72</v>
      </c>
      <c r="P36" s="38" t="s">
        <v>73</v>
      </c>
      <c r="Q36" s="43"/>
      <c r="R36" s="44"/>
      <c r="S36" s="45"/>
    </row>
    <row r="37" s="2" customFormat="1" ht="162" hidden="1" spans="1:19">
      <c r="A37" s="32" t="s">
        <v>62</v>
      </c>
      <c r="B37" s="32" t="s">
        <v>63</v>
      </c>
      <c r="C37" s="32" t="s">
        <v>64</v>
      </c>
      <c r="D37" s="33" t="s">
        <v>127</v>
      </c>
      <c r="E37" s="33" t="s">
        <v>128</v>
      </c>
      <c r="F37" s="33" t="s">
        <v>129</v>
      </c>
      <c r="G37" s="33">
        <v>2025.4</v>
      </c>
      <c r="H37" s="33">
        <v>14</v>
      </c>
      <c r="I37" s="33" t="s">
        <v>129</v>
      </c>
      <c r="J37" s="33" t="s">
        <v>67</v>
      </c>
      <c r="K37" s="36" t="s">
        <v>417</v>
      </c>
      <c r="L37" s="37" t="s">
        <v>418</v>
      </c>
      <c r="M37" s="37" t="s">
        <v>148</v>
      </c>
      <c r="N37" s="37" t="s">
        <v>148</v>
      </c>
      <c r="O37" s="38" t="s">
        <v>72</v>
      </c>
      <c r="P37" s="38" t="s">
        <v>73</v>
      </c>
      <c r="Q37" s="43"/>
      <c r="R37" s="44"/>
      <c r="S37" s="45"/>
    </row>
    <row r="38" s="2" customFormat="1" ht="27" hidden="1" spans="1:19">
      <c r="A38" s="161" t="s">
        <v>149</v>
      </c>
      <c r="B38" s="94" t="s">
        <v>21</v>
      </c>
      <c r="C38" s="94" t="s">
        <v>150</v>
      </c>
      <c r="D38" s="94" t="s">
        <v>151</v>
      </c>
      <c r="E38" s="94" t="s">
        <v>152</v>
      </c>
      <c r="F38" s="94">
        <v>4</v>
      </c>
      <c r="G38" s="94">
        <v>2024.12</v>
      </c>
      <c r="H38" s="94">
        <v>30</v>
      </c>
      <c r="I38" s="94">
        <v>4</v>
      </c>
      <c r="J38" s="115" t="s">
        <v>153</v>
      </c>
      <c r="K38" s="37" t="s">
        <v>154</v>
      </c>
      <c r="L38" s="37" t="s">
        <v>155</v>
      </c>
      <c r="M38" s="153" t="s">
        <v>70</v>
      </c>
      <c r="N38" s="153" t="s">
        <v>156</v>
      </c>
      <c r="O38" s="101" t="s">
        <v>72</v>
      </c>
      <c r="P38" s="101" t="s">
        <v>157</v>
      </c>
      <c r="Q38" s="43"/>
      <c r="R38" s="101"/>
      <c r="S38" s="45"/>
    </row>
    <row r="39" s="2" customFormat="1" ht="27" hidden="1" spans="1:19">
      <c r="A39" s="161" t="s">
        <v>149</v>
      </c>
      <c r="B39" s="94" t="s">
        <v>21</v>
      </c>
      <c r="C39" s="94" t="s">
        <v>150</v>
      </c>
      <c r="D39" s="94" t="s">
        <v>151</v>
      </c>
      <c r="E39" s="94" t="s">
        <v>152</v>
      </c>
      <c r="F39" s="94">
        <v>4</v>
      </c>
      <c r="G39" s="94">
        <v>2024.12</v>
      </c>
      <c r="H39" s="94">
        <v>30</v>
      </c>
      <c r="I39" s="94">
        <v>4</v>
      </c>
      <c r="J39" s="115" t="s">
        <v>153</v>
      </c>
      <c r="K39" s="37" t="s">
        <v>158</v>
      </c>
      <c r="L39" s="37" t="s">
        <v>159</v>
      </c>
      <c r="M39" s="153" t="s">
        <v>36</v>
      </c>
      <c r="N39" s="153" t="s">
        <v>160</v>
      </c>
      <c r="O39" s="101" t="s">
        <v>72</v>
      </c>
      <c r="P39" s="101" t="s">
        <v>157</v>
      </c>
      <c r="Q39" s="43"/>
      <c r="R39" s="101"/>
      <c r="S39" s="45"/>
    </row>
    <row r="40" s="2" customFormat="1" ht="27" hidden="1" spans="1:19">
      <c r="A40" s="161" t="s">
        <v>149</v>
      </c>
      <c r="B40" s="94" t="s">
        <v>21</v>
      </c>
      <c r="C40" s="94" t="s">
        <v>150</v>
      </c>
      <c r="D40" s="94" t="s">
        <v>151</v>
      </c>
      <c r="E40" s="94" t="s">
        <v>152</v>
      </c>
      <c r="F40" s="94">
        <v>4</v>
      </c>
      <c r="G40" s="94">
        <v>2024.12</v>
      </c>
      <c r="H40" s="94">
        <v>30</v>
      </c>
      <c r="I40" s="94">
        <v>4</v>
      </c>
      <c r="J40" s="115" t="s">
        <v>153</v>
      </c>
      <c r="K40" s="37" t="s">
        <v>161</v>
      </c>
      <c r="L40" s="37" t="s">
        <v>162</v>
      </c>
      <c r="M40" s="153" t="s">
        <v>36</v>
      </c>
      <c r="N40" s="153" t="s">
        <v>160</v>
      </c>
      <c r="O40" s="101" t="s">
        <v>72</v>
      </c>
      <c r="P40" s="101" t="s">
        <v>157</v>
      </c>
      <c r="Q40" s="43"/>
      <c r="R40" s="101"/>
      <c r="S40" s="45"/>
    </row>
    <row r="41" s="2" customFormat="1" ht="72" hidden="1" spans="1:19">
      <c r="A41" s="161" t="s">
        <v>149</v>
      </c>
      <c r="B41" s="27" t="s">
        <v>21</v>
      </c>
      <c r="C41" s="27" t="s">
        <v>163</v>
      </c>
      <c r="D41" s="15" t="s">
        <v>164</v>
      </c>
      <c r="E41" s="27" t="s">
        <v>165</v>
      </c>
      <c r="F41" s="27">
        <v>14</v>
      </c>
      <c r="G41" s="27">
        <v>2024.1</v>
      </c>
      <c r="H41" s="27">
        <v>2</v>
      </c>
      <c r="I41" s="27">
        <v>14</v>
      </c>
      <c r="J41" s="115" t="s">
        <v>153</v>
      </c>
      <c r="K41" s="162" t="s">
        <v>166</v>
      </c>
      <c r="L41" s="153" t="s">
        <v>167</v>
      </c>
      <c r="M41" s="153" t="s">
        <v>70</v>
      </c>
      <c r="N41" s="153" t="s">
        <v>168</v>
      </c>
      <c r="O41" s="100" t="s">
        <v>169</v>
      </c>
      <c r="P41" s="100" t="s">
        <v>169</v>
      </c>
      <c r="Q41" s="43"/>
      <c r="R41" s="43"/>
      <c r="S41" s="45"/>
    </row>
    <row r="42" s="82" customFormat="1" ht="27" hidden="1" spans="1:19">
      <c r="A42" s="33" t="s">
        <v>170</v>
      </c>
      <c r="B42" s="96" t="s">
        <v>63</v>
      </c>
      <c r="C42" s="96" t="s">
        <v>171</v>
      </c>
      <c r="D42" s="96" t="s">
        <v>172</v>
      </c>
      <c r="E42" s="96" t="s">
        <v>173</v>
      </c>
      <c r="F42" s="96">
        <v>2</v>
      </c>
      <c r="G42" s="96">
        <v>2025.3</v>
      </c>
      <c r="H42" s="96">
        <v>18</v>
      </c>
      <c r="I42" s="96">
        <v>2</v>
      </c>
      <c r="J42" s="115" t="s">
        <v>153</v>
      </c>
      <c r="K42" s="116" t="s">
        <v>174</v>
      </c>
      <c r="L42" s="116" t="s">
        <v>175</v>
      </c>
      <c r="M42" s="45" t="s">
        <v>28</v>
      </c>
      <c r="N42" s="45" t="s">
        <v>176</v>
      </c>
      <c r="O42" s="118" t="s">
        <v>72</v>
      </c>
      <c r="P42" s="118" t="s">
        <v>73</v>
      </c>
      <c r="Q42" s="43"/>
      <c r="R42" s="43"/>
      <c r="S42" s="45"/>
    </row>
    <row r="43" s="82" customFormat="1" ht="27" hidden="1" spans="1:19">
      <c r="A43" s="33" t="s">
        <v>170</v>
      </c>
      <c r="B43" s="96" t="s">
        <v>63</v>
      </c>
      <c r="C43" s="96" t="s">
        <v>171</v>
      </c>
      <c r="D43" s="96" t="s">
        <v>172</v>
      </c>
      <c r="E43" s="96" t="s">
        <v>173</v>
      </c>
      <c r="F43" s="96">
        <v>2</v>
      </c>
      <c r="G43" s="96">
        <v>2025.3</v>
      </c>
      <c r="H43" s="96">
        <v>18</v>
      </c>
      <c r="I43" s="96">
        <v>2</v>
      </c>
      <c r="J43" s="115" t="s">
        <v>153</v>
      </c>
      <c r="K43" s="116" t="s">
        <v>177</v>
      </c>
      <c r="L43" s="117" t="s">
        <v>178</v>
      </c>
      <c r="M43" s="117" t="s">
        <v>36</v>
      </c>
      <c r="N43" s="45" t="s">
        <v>160</v>
      </c>
      <c r="O43" s="118" t="s">
        <v>72</v>
      </c>
      <c r="P43" s="118" t="s">
        <v>73</v>
      </c>
      <c r="Q43" s="43"/>
      <c r="R43" s="43"/>
      <c r="S43" s="45"/>
    </row>
    <row r="44" s="82" customFormat="1" ht="40.5" hidden="1" spans="1:19">
      <c r="A44" s="33" t="s">
        <v>170</v>
      </c>
      <c r="B44" s="96" t="s">
        <v>63</v>
      </c>
      <c r="C44" s="96" t="s">
        <v>171</v>
      </c>
      <c r="D44" s="96" t="s">
        <v>172</v>
      </c>
      <c r="E44" s="96" t="s">
        <v>173</v>
      </c>
      <c r="F44" s="96">
        <v>2</v>
      </c>
      <c r="G44" s="96">
        <v>2025.3</v>
      </c>
      <c r="H44" s="96">
        <v>18</v>
      </c>
      <c r="I44" s="96">
        <v>2</v>
      </c>
      <c r="J44" s="115" t="s">
        <v>153</v>
      </c>
      <c r="K44" s="116" t="s">
        <v>179</v>
      </c>
      <c r="L44" s="116" t="s">
        <v>180</v>
      </c>
      <c r="M44" s="117" t="s">
        <v>36</v>
      </c>
      <c r="N44" s="45" t="s">
        <v>160</v>
      </c>
      <c r="O44" s="118" t="s">
        <v>72</v>
      </c>
      <c r="P44" s="118" t="s">
        <v>73</v>
      </c>
      <c r="Q44" s="43"/>
      <c r="R44" s="43"/>
      <c r="S44" s="45"/>
    </row>
    <row r="45" s="82" customFormat="1" ht="40.5" hidden="1" spans="1:19">
      <c r="A45" s="33" t="s">
        <v>170</v>
      </c>
      <c r="B45" s="96" t="s">
        <v>63</v>
      </c>
      <c r="C45" s="96" t="s">
        <v>171</v>
      </c>
      <c r="D45" s="96" t="s">
        <v>172</v>
      </c>
      <c r="E45" s="96" t="s">
        <v>173</v>
      </c>
      <c r="F45" s="96">
        <v>2</v>
      </c>
      <c r="G45" s="96">
        <v>2025.3</v>
      </c>
      <c r="H45" s="96">
        <v>18</v>
      </c>
      <c r="I45" s="96">
        <v>2</v>
      </c>
      <c r="J45" s="33" t="s">
        <v>153</v>
      </c>
      <c r="K45" s="127" t="s">
        <v>181</v>
      </c>
      <c r="L45" s="127" t="s">
        <v>182</v>
      </c>
      <c r="M45" s="138" t="s">
        <v>36</v>
      </c>
      <c r="N45" s="99" t="s">
        <v>160</v>
      </c>
      <c r="O45" s="118" t="s">
        <v>72</v>
      </c>
      <c r="P45" s="118" t="s">
        <v>73</v>
      </c>
      <c r="Q45" s="44"/>
      <c r="R45" s="44"/>
      <c r="S45" s="99"/>
    </row>
    <row r="46" s="83" customFormat="1" ht="24" spans="1:19">
      <c r="A46" s="24" t="s">
        <v>170</v>
      </c>
      <c r="B46" s="13" t="s">
        <v>63</v>
      </c>
      <c r="C46" s="13" t="s">
        <v>171</v>
      </c>
      <c r="D46" s="13" t="s">
        <v>172</v>
      </c>
      <c r="E46" s="13" t="s">
        <v>173</v>
      </c>
      <c r="F46" s="13">
        <v>2</v>
      </c>
      <c r="G46" s="13">
        <v>2025.3</v>
      </c>
      <c r="H46" s="13">
        <v>18</v>
      </c>
      <c r="I46" s="13">
        <v>2</v>
      </c>
      <c r="J46" s="24" t="s">
        <v>153</v>
      </c>
      <c r="K46" s="19" t="s">
        <v>434</v>
      </c>
      <c r="L46" s="19" t="s">
        <v>184</v>
      </c>
      <c r="M46" s="15" t="s">
        <v>44</v>
      </c>
      <c r="N46" s="15" t="s">
        <v>45</v>
      </c>
      <c r="O46" s="75" t="s">
        <v>72</v>
      </c>
      <c r="P46" s="75" t="s">
        <v>73</v>
      </c>
      <c r="Q46" s="14"/>
      <c r="R46" s="14"/>
      <c r="S46" s="15"/>
    </row>
    <row r="47" s="82" customFormat="1" ht="40.5" hidden="1" spans="1:19">
      <c r="A47" s="91" t="s">
        <v>170</v>
      </c>
      <c r="B47" s="95" t="s">
        <v>63</v>
      </c>
      <c r="C47" s="95" t="s">
        <v>171</v>
      </c>
      <c r="D47" s="95" t="s">
        <v>172</v>
      </c>
      <c r="E47" s="95" t="s">
        <v>173</v>
      </c>
      <c r="F47" s="95">
        <v>2</v>
      </c>
      <c r="G47" s="95">
        <v>2025.3</v>
      </c>
      <c r="H47" s="95">
        <v>18</v>
      </c>
      <c r="I47" s="95">
        <v>2</v>
      </c>
      <c r="J47" s="91" t="s">
        <v>153</v>
      </c>
      <c r="K47" s="198" t="s">
        <v>185</v>
      </c>
      <c r="L47" s="198" t="s">
        <v>186</v>
      </c>
      <c r="M47" s="199" t="s">
        <v>52</v>
      </c>
      <c r="N47" s="199" t="s">
        <v>187</v>
      </c>
      <c r="O47" s="114" t="s">
        <v>72</v>
      </c>
      <c r="P47" s="114" t="s">
        <v>73</v>
      </c>
      <c r="Q47" s="129"/>
      <c r="R47" s="129"/>
      <c r="S47" s="199"/>
    </row>
    <row r="48" s="83" customFormat="1" spans="1:19">
      <c r="A48" s="24" t="s">
        <v>170</v>
      </c>
      <c r="B48" s="13" t="s">
        <v>63</v>
      </c>
      <c r="C48" s="13" t="s">
        <v>171</v>
      </c>
      <c r="D48" s="13" t="s">
        <v>172</v>
      </c>
      <c r="E48" s="13" t="s">
        <v>173</v>
      </c>
      <c r="F48" s="13">
        <v>2</v>
      </c>
      <c r="G48" s="13">
        <v>2025.3</v>
      </c>
      <c r="H48" s="13">
        <v>18</v>
      </c>
      <c r="I48" s="13">
        <v>2</v>
      </c>
      <c r="J48" s="24" t="s">
        <v>153</v>
      </c>
      <c r="K48" s="19" t="s">
        <v>188</v>
      </c>
      <c r="L48" s="19" t="s">
        <v>189</v>
      </c>
      <c r="M48" s="15" t="s">
        <v>44</v>
      </c>
      <c r="N48" s="15" t="s">
        <v>45</v>
      </c>
      <c r="O48" s="75" t="s">
        <v>72</v>
      </c>
      <c r="P48" s="75" t="s">
        <v>73</v>
      </c>
      <c r="Q48" s="14"/>
      <c r="R48" s="14"/>
      <c r="S48" s="15"/>
    </row>
    <row r="49" s="82" customFormat="1" ht="27" hidden="1" spans="1:19">
      <c r="A49" s="91" t="s">
        <v>170</v>
      </c>
      <c r="B49" s="95" t="s">
        <v>63</v>
      </c>
      <c r="C49" s="95" t="s">
        <v>171</v>
      </c>
      <c r="D49" s="95" t="s">
        <v>172</v>
      </c>
      <c r="E49" s="95" t="s">
        <v>173</v>
      </c>
      <c r="F49" s="95">
        <v>2</v>
      </c>
      <c r="G49" s="95">
        <v>2025.3</v>
      </c>
      <c r="H49" s="95">
        <v>18</v>
      </c>
      <c r="I49" s="95">
        <v>2</v>
      </c>
      <c r="J49" s="91" t="s">
        <v>153</v>
      </c>
      <c r="K49" s="198" t="s">
        <v>190</v>
      </c>
      <c r="L49" s="198" t="s">
        <v>191</v>
      </c>
      <c r="M49" s="200" t="s">
        <v>36</v>
      </c>
      <c r="N49" s="199" t="s">
        <v>160</v>
      </c>
      <c r="O49" s="114" t="s">
        <v>72</v>
      </c>
      <c r="P49" s="114" t="s">
        <v>73</v>
      </c>
      <c r="Q49" s="129"/>
      <c r="R49" s="129"/>
      <c r="S49" s="199"/>
    </row>
    <row r="50" s="83" customFormat="1" ht="24" spans="1:19">
      <c r="A50" s="24" t="s">
        <v>170</v>
      </c>
      <c r="B50" s="13" t="s">
        <v>63</v>
      </c>
      <c r="C50" s="13" t="s">
        <v>171</v>
      </c>
      <c r="D50" s="13" t="s">
        <v>172</v>
      </c>
      <c r="E50" s="13" t="s">
        <v>173</v>
      </c>
      <c r="F50" s="13">
        <v>2</v>
      </c>
      <c r="G50" s="13">
        <v>2025.3</v>
      </c>
      <c r="H50" s="13">
        <v>18</v>
      </c>
      <c r="I50" s="13">
        <v>2</v>
      </c>
      <c r="J50" s="24" t="s">
        <v>153</v>
      </c>
      <c r="K50" s="19" t="s">
        <v>192</v>
      </c>
      <c r="L50" s="19" t="s">
        <v>193</v>
      </c>
      <c r="M50" s="15" t="s">
        <v>44</v>
      </c>
      <c r="N50" s="15" t="s">
        <v>45</v>
      </c>
      <c r="O50" s="75" t="s">
        <v>72</v>
      </c>
      <c r="P50" s="75" t="s">
        <v>73</v>
      </c>
      <c r="Q50" s="14"/>
      <c r="R50" s="14"/>
      <c r="S50" s="15"/>
    </row>
    <row r="51" s="82" customFormat="1" ht="40.5" hidden="1" spans="1:19">
      <c r="A51" s="91" t="s">
        <v>170</v>
      </c>
      <c r="B51" s="95" t="s">
        <v>63</v>
      </c>
      <c r="C51" s="95" t="s">
        <v>171</v>
      </c>
      <c r="D51" s="95" t="s">
        <v>194</v>
      </c>
      <c r="E51" s="95" t="s">
        <v>195</v>
      </c>
      <c r="F51" s="95">
        <v>3</v>
      </c>
      <c r="G51" s="95">
        <v>2025.4</v>
      </c>
      <c r="H51" s="95">
        <v>9</v>
      </c>
      <c r="I51" s="95">
        <v>3</v>
      </c>
      <c r="J51" s="111" t="s">
        <v>153</v>
      </c>
      <c r="K51" s="113" t="s">
        <v>196</v>
      </c>
      <c r="L51" s="113" t="s">
        <v>197</v>
      </c>
      <c r="M51" s="134" t="s">
        <v>36</v>
      </c>
      <c r="N51" s="106" t="s">
        <v>160</v>
      </c>
      <c r="O51" s="114" t="s">
        <v>72</v>
      </c>
      <c r="P51" s="114" t="s">
        <v>73</v>
      </c>
      <c r="Q51" s="128"/>
      <c r="R51" s="128"/>
      <c r="S51" s="106"/>
    </row>
    <row r="52" s="82" customFormat="1" ht="27" hidden="1" spans="1:19">
      <c r="A52" s="33" t="s">
        <v>170</v>
      </c>
      <c r="B52" s="96" t="s">
        <v>63</v>
      </c>
      <c r="C52" s="96" t="s">
        <v>171</v>
      </c>
      <c r="D52" s="96" t="s">
        <v>194</v>
      </c>
      <c r="E52" s="96" t="s">
        <v>195</v>
      </c>
      <c r="F52" s="96">
        <v>3</v>
      </c>
      <c r="G52" s="96">
        <v>2025.4</v>
      </c>
      <c r="H52" s="96">
        <v>9</v>
      </c>
      <c r="I52" s="96">
        <v>3</v>
      </c>
      <c r="J52" s="115" t="s">
        <v>153</v>
      </c>
      <c r="K52" s="116" t="s">
        <v>198</v>
      </c>
      <c r="L52" s="116" t="s">
        <v>199</v>
      </c>
      <c r="M52" s="117" t="s">
        <v>36</v>
      </c>
      <c r="N52" s="45" t="s">
        <v>160</v>
      </c>
      <c r="O52" s="118" t="s">
        <v>72</v>
      </c>
      <c r="P52" s="118" t="s">
        <v>73</v>
      </c>
      <c r="Q52" s="43"/>
      <c r="R52" s="43"/>
      <c r="S52" s="45"/>
    </row>
    <row r="53" s="82" customFormat="1" ht="27" hidden="1" spans="1:19">
      <c r="A53" s="33" t="s">
        <v>170</v>
      </c>
      <c r="B53" s="96" t="s">
        <v>63</v>
      </c>
      <c r="C53" s="96" t="s">
        <v>171</v>
      </c>
      <c r="D53" s="96" t="s">
        <v>194</v>
      </c>
      <c r="E53" s="96" t="s">
        <v>195</v>
      </c>
      <c r="F53" s="96">
        <v>3</v>
      </c>
      <c r="G53" s="96">
        <v>2025.4</v>
      </c>
      <c r="H53" s="96">
        <v>9</v>
      </c>
      <c r="I53" s="96">
        <v>3</v>
      </c>
      <c r="J53" s="33" t="s">
        <v>153</v>
      </c>
      <c r="K53" s="127" t="s">
        <v>200</v>
      </c>
      <c r="L53" s="127" t="s">
        <v>201</v>
      </c>
      <c r="M53" s="138" t="s">
        <v>36</v>
      </c>
      <c r="N53" s="99" t="s">
        <v>160</v>
      </c>
      <c r="O53" s="118" t="s">
        <v>72</v>
      </c>
      <c r="P53" s="118" t="s">
        <v>73</v>
      </c>
      <c r="Q53" s="44"/>
      <c r="R53" s="44"/>
      <c r="S53" s="99"/>
    </row>
    <row r="54" s="83" customFormat="1" spans="1:19">
      <c r="A54" s="24" t="s">
        <v>170</v>
      </c>
      <c r="B54" s="13" t="s">
        <v>63</v>
      </c>
      <c r="C54" s="13" t="s">
        <v>171</v>
      </c>
      <c r="D54" s="13" t="s">
        <v>194</v>
      </c>
      <c r="E54" s="13" t="s">
        <v>195</v>
      </c>
      <c r="F54" s="13">
        <v>3</v>
      </c>
      <c r="G54" s="13">
        <v>2025.4</v>
      </c>
      <c r="H54" s="13">
        <v>9</v>
      </c>
      <c r="I54" s="13">
        <v>3</v>
      </c>
      <c r="J54" s="24" t="s">
        <v>153</v>
      </c>
      <c r="K54" s="19" t="s">
        <v>202</v>
      </c>
      <c r="L54" s="19" t="s">
        <v>203</v>
      </c>
      <c r="M54" s="15" t="s">
        <v>44</v>
      </c>
      <c r="N54" s="15" t="s">
        <v>45</v>
      </c>
      <c r="O54" s="75" t="s">
        <v>72</v>
      </c>
      <c r="P54" s="75" t="s">
        <v>73</v>
      </c>
      <c r="Q54" s="14"/>
      <c r="R54" s="14"/>
      <c r="S54" s="15"/>
    </row>
    <row r="55" s="83" customFormat="1" ht="24" spans="1:19">
      <c r="A55" s="24" t="s">
        <v>170</v>
      </c>
      <c r="B55" s="13" t="s">
        <v>63</v>
      </c>
      <c r="C55" s="13" t="s">
        <v>171</v>
      </c>
      <c r="D55" s="13" t="s">
        <v>194</v>
      </c>
      <c r="E55" s="13" t="s">
        <v>195</v>
      </c>
      <c r="F55" s="13">
        <v>3</v>
      </c>
      <c r="G55" s="13">
        <v>2025.4</v>
      </c>
      <c r="H55" s="13">
        <v>9</v>
      </c>
      <c r="I55" s="13">
        <v>3</v>
      </c>
      <c r="J55" s="24" t="s">
        <v>153</v>
      </c>
      <c r="K55" s="19" t="s">
        <v>204</v>
      </c>
      <c r="L55" s="19" t="s">
        <v>205</v>
      </c>
      <c r="M55" s="15" t="s">
        <v>44</v>
      </c>
      <c r="N55" s="15" t="s">
        <v>45</v>
      </c>
      <c r="O55" s="75" t="s">
        <v>72</v>
      </c>
      <c r="P55" s="75" t="s">
        <v>73</v>
      </c>
      <c r="Q55" s="14"/>
      <c r="R55" s="14"/>
      <c r="S55" s="15"/>
    </row>
    <row r="56" s="82" customFormat="1" ht="14.25" hidden="1" spans="1:19">
      <c r="A56" s="91" t="s">
        <v>170</v>
      </c>
      <c r="B56" s="91" t="s">
        <v>63</v>
      </c>
      <c r="C56" s="91" t="s">
        <v>171</v>
      </c>
      <c r="D56" s="91" t="s">
        <v>206</v>
      </c>
      <c r="E56" s="91" t="s">
        <v>207</v>
      </c>
      <c r="F56" s="91">
        <v>2</v>
      </c>
      <c r="G56" s="91">
        <v>2025.4</v>
      </c>
      <c r="H56" s="91">
        <v>18</v>
      </c>
      <c r="I56" s="91">
        <v>2</v>
      </c>
      <c r="J56" s="111" t="s">
        <v>153</v>
      </c>
      <c r="K56" s="113" t="s">
        <v>208</v>
      </c>
      <c r="L56" s="201"/>
      <c r="M56" s="134" t="s">
        <v>36</v>
      </c>
      <c r="N56" s="106" t="s">
        <v>160</v>
      </c>
      <c r="O56" s="114" t="s">
        <v>72</v>
      </c>
      <c r="P56" s="114" t="s">
        <v>73</v>
      </c>
      <c r="Q56" s="128"/>
      <c r="R56" s="128"/>
      <c r="S56" s="106"/>
    </row>
    <row r="57" s="82" customFormat="1" ht="27" hidden="1" spans="1:19">
      <c r="A57" s="33" t="s">
        <v>170</v>
      </c>
      <c r="B57" s="33" t="s">
        <v>63</v>
      </c>
      <c r="C57" s="33" t="s">
        <v>171</v>
      </c>
      <c r="D57" s="33" t="s">
        <v>206</v>
      </c>
      <c r="E57" s="33" t="s">
        <v>207</v>
      </c>
      <c r="F57" s="33">
        <v>2</v>
      </c>
      <c r="G57" s="33">
        <v>2025.4</v>
      </c>
      <c r="H57" s="33">
        <v>18</v>
      </c>
      <c r="I57" s="33">
        <v>2</v>
      </c>
      <c r="J57" s="115" t="s">
        <v>153</v>
      </c>
      <c r="K57" s="116" t="s">
        <v>209</v>
      </c>
      <c r="L57" s="116" t="s">
        <v>210</v>
      </c>
      <c r="M57" s="45" t="s">
        <v>52</v>
      </c>
      <c r="N57" s="45" t="s">
        <v>187</v>
      </c>
      <c r="O57" s="118" t="s">
        <v>72</v>
      </c>
      <c r="P57" s="118" t="s">
        <v>73</v>
      </c>
      <c r="Q57" s="43"/>
      <c r="R57" s="43"/>
      <c r="S57" s="45"/>
    </row>
    <row r="58" s="82" customFormat="1" ht="27" hidden="1" spans="1:19">
      <c r="A58" s="33" t="s">
        <v>170</v>
      </c>
      <c r="B58" s="33" t="s">
        <v>63</v>
      </c>
      <c r="C58" s="33" t="s">
        <v>171</v>
      </c>
      <c r="D58" s="33" t="s">
        <v>206</v>
      </c>
      <c r="E58" s="33" t="s">
        <v>207</v>
      </c>
      <c r="F58" s="33">
        <v>2</v>
      </c>
      <c r="G58" s="33">
        <v>2025.4</v>
      </c>
      <c r="H58" s="33">
        <v>18</v>
      </c>
      <c r="I58" s="33">
        <v>2</v>
      </c>
      <c r="J58" s="115" t="s">
        <v>153</v>
      </c>
      <c r="K58" s="116" t="s">
        <v>211</v>
      </c>
      <c r="L58" s="116" t="s">
        <v>212</v>
      </c>
      <c r="M58" s="45" t="s">
        <v>52</v>
      </c>
      <c r="N58" s="45" t="s">
        <v>187</v>
      </c>
      <c r="O58" s="118" t="s">
        <v>72</v>
      </c>
      <c r="P58" s="118" t="s">
        <v>73</v>
      </c>
      <c r="Q58" s="43"/>
      <c r="R58" s="43"/>
      <c r="S58" s="45"/>
    </row>
    <row r="59" s="82" customFormat="1" ht="27" hidden="1" spans="1:19">
      <c r="A59" s="33" t="s">
        <v>170</v>
      </c>
      <c r="B59" s="33" t="s">
        <v>63</v>
      </c>
      <c r="C59" s="33" t="s">
        <v>171</v>
      </c>
      <c r="D59" s="33" t="s">
        <v>206</v>
      </c>
      <c r="E59" s="33" t="s">
        <v>207</v>
      </c>
      <c r="F59" s="33">
        <v>2</v>
      </c>
      <c r="G59" s="33">
        <v>2025.4</v>
      </c>
      <c r="H59" s="33">
        <v>18</v>
      </c>
      <c r="I59" s="33">
        <v>2</v>
      </c>
      <c r="J59" s="115" t="s">
        <v>153</v>
      </c>
      <c r="K59" s="116" t="s">
        <v>213</v>
      </c>
      <c r="L59" s="116" t="s">
        <v>214</v>
      </c>
      <c r="M59" s="45" t="s">
        <v>52</v>
      </c>
      <c r="N59" s="45" t="s">
        <v>187</v>
      </c>
      <c r="O59" s="118" t="s">
        <v>72</v>
      </c>
      <c r="P59" s="118" t="s">
        <v>73</v>
      </c>
      <c r="Q59" s="43"/>
      <c r="R59" s="43"/>
      <c r="S59" s="45"/>
    </row>
    <row r="60" s="82" customFormat="1" ht="27" hidden="1" spans="1:19">
      <c r="A60" s="33" t="s">
        <v>170</v>
      </c>
      <c r="B60" s="33" t="s">
        <v>63</v>
      </c>
      <c r="C60" s="33" t="s">
        <v>171</v>
      </c>
      <c r="D60" s="33" t="s">
        <v>206</v>
      </c>
      <c r="E60" s="33" t="s">
        <v>207</v>
      </c>
      <c r="F60" s="33">
        <v>2</v>
      </c>
      <c r="G60" s="33">
        <v>2025.4</v>
      </c>
      <c r="H60" s="33">
        <v>18</v>
      </c>
      <c r="I60" s="33">
        <v>2</v>
      </c>
      <c r="J60" s="115" t="s">
        <v>153</v>
      </c>
      <c r="K60" s="116" t="s">
        <v>215</v>
      </c>
      <c r="L60" s="116" t="s">
        <v>216</v>
      </c>
      <c r="M60" s="117" t="s">
        <v>36</v>
      </c>
      <c r="N60" s="45" t="s">
        <v>160</v>
      </c>
      <c r="O60" s="118" t="s">
        <v>72</v>
      </c>
      <c r="P60" s="118" t="s">
        <v>73</v>
      </c>
      <c r="Q60" s="43"/>
      <c r="R60" s="43"/>
      <c r="S60" s="45"/>
    </row>
    <row r="61" s="83" customFormat="1" ht="28.5" hidden="1" spans="1:19">
      <c r="A61" s="97" t="s">
        <v>217</v>
      </c>
      <c r="B61" s="98" t="s">
        <v>21</v>
      </c>
      <c r="C61" s="98" t="s">
        <v>218</v>
      </c>
      <c r="D61" s="98" t="s">
        <v>219</v>
      </c>
      <c r="E61" s="98" t="s">
        <v>220</v>
      </c>
      <c r="F61" s="98">
        <v>8</v>
      </c>
      <c r="G61" s="98" t="s">
        <v>221</v>
      </c>
      <c r="H61" s="98">
        <v>31</v>
      </c>
      <c r="I61" s="98">
        <v>8</v>
      </c>
      <c r="J61" s="98" t="s">
        <v>25</v>
      </c>
      <c r="K61" s="120" t="s">
        <v>222</v>
      </c>
      <c r="L61" s="121"/>
      <c r="M61" s="122"/>
      <c r="N61" s="122"/>
      <c r="O61" s="123"/>
      <c r="P61" s="124"/>
      <c r="Q61" s="26"/>
      <c r="R61" s="26"/>
      <c r="S61" s="27"/>
    </row>
    <row r="62" s="2" customFormat="1" ht="27" hidden="1" spans="1:19">
      <c r="A62" s="34" t="s">
        <v>223</v>
      </c>
      <c r="B62" s="45" t="s">
        <v>21</v>
      </c>
      <c r="C62" s="45" t="s">
        <v>224</v>
      </c>
      <c r="D62" s="45" t="s">
        <v>225</v>
      </c>
      <c r="E62" s="45" t="s">
        <v>226</v>
      </c>
      <c r="F62" s="45">
        <v>3</v>
      </c>
      <c r="G62" s="45" t="s">
        <v>227</v>
      </c>
      <c r="H62" s="45">
        <v>13</v>
      </c>
      <c r="I62" s="45">
        <v>3</v>
      </c>
      <c r="J62" s="125" t="s">
        <v>153</v>
      </c>
      <c r="K62" s="116" t="s">
        <v>228</v>
      </c>
      <c r="L62" s="116" t="s">
        <v>229</v>
      </c>
      <c r="M62" s="116" t="s">
        <v>230</v>
      </c>
      <c r="N62" s="116" t="s">
        <v>231</v>
      </c>
      <c r="O62" s="126" t="s">
        <v>72</v>
      </c>
      <c r="P62" s="126" t="s">
        <v>73</v>
      </c>
      <c r="Q62" s="43"/>
      <c r="R62" s="43"/>
      <c r="S62" s="45"/>
    </row>
    <row r="63" s="2" customFormat="1" ht="27" hidden="1" spans="1:19">
      <c r="A63" s="34" t="s">
        <v>223</v>
      </c>
      <c r="B63" s="45"/>
      <c r="C63" s="45"/>
      <c r="D63" s="45"/>
      <c r="E63" s="45"/>
      <c r="F63" s="45"/>
      <c r="G63" s="45"/>
      <c r="H63" s="45"/>
      <c r="I63" s="45"/>
      <c r="J63" s="125" t="s">
        <v>153</v>
      </c>
      <c r="K63" s="116" t="s">
        <v>232</v>
      </c>
      <c r="L63" s="116" t="s">
        <v>233</v>
      </c>
      <c r="M63" s="116" t="s">
        <v>28</v>
      </c>
      <c r="N63" s="116" t="s">
        <v>29</v>
      </c>
      <c r="O63" s="126" t="s">
        <v>72</v>
      </c>
      <c r="P63" s="126" t="s">
        <v>73</v>
      </c>
      <c r="Q63" s="43"/>
      <c r="R63" s="43"/>
      <c r="S63" s="45"/>
    </row>
    <row r="64" s="2" customFormat="1" ht="27" hidden="1" spans="1:19">
      <c r="A64" s="34" t="s">
        <v>223</v>
      </c>
      <c r="B64" s="85" t="s">
        <v>63</v>
      </c>
      <c r="C64" s="85" t="s">
        <v>234</v>
      </c>
      <c r="D64" s="85" t="s">
        <v>235</v>
      </c>
      <c r="E64" s="85" t="s">
        <v>236</v>
      </c>
      <c r="F64" s="85">
        <v>1</v>
      </c>
      <c r="G64" s="85">
        <v>2023.12</v>
      </c>
      <c r="H64" s="85">
        <v>5</v>
      </c>
      <c r="I64" s="85">
        <v>1</v>
      </c>
      <c r="J64" s="125" t="s">
        <v>153</v>
      </c>
      <c r="K64" s="116" t="s">
        <v>237</v>
      </c>
      <c r="L64" s="116" t="s">
        <v>238</v>
      </c>
      <c r="M64" s="116" t="s">
        <v>70</v>
      </c>
      <c r="N64" s="116" t="s">
        <v>71</v>
      </c>
      <c r="O64" s="126" t="s">
        <v>72</v>
      </c>
      <c r="P64" s="126" t="s">
        <v>73</v>
      </c>
      <c r="Q64" s="43"/>
      <c r="R64" s="43"/>
      <c r="S64" s="45"/>
    </row>
    <row r="65" s="2" customFormat="1" ht="54" hidden="1" spans="1:19">
      <c r="A65" s="34" t="s">
        <v>223</v>
      </c>
      <c r="B65" s="34" t="s">
        <v>63</v>
      </c>
      <c r="C65" s="34" t="s">
        <v>234</v>
      </c>
      <c r="D65" s="34" t="s">
        <v>239</v>
      </c>
      <c r="E65" s="34" t="s">
        <v>240</v>
      </c>
      <c r="F65" s="34">
        <v>3</v>
      </c>
      <c r="G65" s="34">
        <v>2024.12</v>
      </c>
      <c r="H65" s="34">
        <v>11</v>
      </c>
      <c r="I65" s="34">
        <v>3</v>
      </c>
      <c r="J65" s="125" t="s">
        <v>153</v>
      </c>
      <c r="K65" s="116" t="s">
        <v>419</v>
      </c>
      <c r="L65" s="116" t="s">
        <v>420</v>
      </c>
      <c r="M65" s="116" t="s">
        <v>70</v>
      </c>
      <c r="N65" s="116" t="s">
        <v>71</v>
      </c>
      <c r="O65" s="126" t="s">
        <v>72</v>
      </c>
      <c r="P65" s="126" t="s">
        <v>73</v>
      </c>
      <c r="Q65" s="43"/>
      <c r="R65" s="43"/>
      <c r="S65" s="45"/>
    </row>
    <row r="66" s="2" customFormat="1" ht="81" hidden="1" spans="1:19">
      <c r="A66" s="34" t="s">
        <v>223</v>
      </c>
      <c r="B66" s="34" t="s">
        <v>63</v>
      </c>
      <c r="C66" s="34" t="s">
        <v>234</v>
      </c>
      <c r="D66" s="34" t="s">
        <v>239</v>
      </c>
      <c r="E66" s="34" t="s">
        <v>240</v>
      </c>
      <c r="F66" s="34">
        <v>3</v>
      </c>
      <c r="G66" s="34">
        <v>2024.12</v>
      </c>
      <c r="H66" s="34">
        <v>11</v>
      </c>
      <c r="I66" s="34">
        <v>3</v>
      </c>
      <c r="J66" s="125" t="s">
        <v>153</v>
      </c>
      <c r="K66" s="116" t="s">
        <v>421</v>
      </c>
      <c r="L66" s="116" t="s">
        <v>422</v>
      </c>
      <c r="M66" s="116" t="s">
        <v>245</v>
      </c>
      <c r="N66" s="116" t="s">
        <v>246</v>
      </c>
      <c r="O66" s="126" t="s">
        <v>72</v>
      </c>
      <c r="P66" s="126" t="s">
        <v>73</v>
      </c>
      <c r="Q66" s="43"/>
      <c r="R66" s="43"/>
      <c r="S66" s="45"/>
    </row>
    <row r="67" s="2" customFormat="1" ht="27" hidden="1" spans="1:19">
      <c r="A67" s="34" t="s">
        <v>223</v>
      </c>
      <c r="B67" s="34" t="s">
        <v>63</v>
      </c>
      <c r="C67" s="34" t="s">
        <v>234</v>
      </c>
      <c r="D67" s="34" t="s">
        <v>239</v>
      </c>
      <c r="E67" s="34" t="s">
        <v>240</v>
      </c>
      <c r="F67" s="34">
        <v>3</v>
      </c>
      <c r="G67" s="34">
        <v>2024.12</v>
      </c>
      <c r="H67" s="34">
        <v>11</v>
      </c>
      <c r="I67" s="34">
        <v>3</v>
      </c>
      <c r="J67" s="125" t="s">
        <v>153</v>
      </c>
      <c r="K67" s="116" t="s">
        <v>247</v>
      </c>
      <c r="L67" s="116" t="s">
        <v>248</v>
      </c>
      <c r="M67" s="116" t="s">
        <v>245</v>
      </c>
      <c r="N67" s="116" t="s">
        <v>246</v>
      </c>
      <c r="O67" s="126" t="s">
        <v>72</v>
      </c>
      <c r="P67" s="126" t="s">
        <v>73</v>
      </c>
      <c r="Q67" s="43"/>
      <c r="R67" s="43"/>
      <c r="S67" s="45"/>
    </row>
    <row r="68" s="2" customFormat="1" ht="27" hidden="1" spans="1:19">
      <c r="A68" s="34" t="s">
        <v>223</v>
      </c>
      <c r="B68" s="34" t="s">
        <v>63</v>
      </c>
      <c r="C68" s="34" t="s">
        <v>234</v>
      </c>
      <c r="D68" s="34" t="s">
        <v>239</v>
      </c>
      <c r="E68" s="34" t="s">
        <v>240</v>
      </c>
      <c r="F68" s="34">
        <v>3</v>
      </c>
      <c r="G68" s="34">
        <v>2024.12</v>
      </c>
      <c r="H68" s="34">
        <v>11</v>
      </c>
      <c r="I68" s="34">
        <v>3</v>
      </c>
      <c r="J68" s="125" t="s">
        <v>153</v>
      </c>
      <c r="K68" s="116" t="s">
        <v>247</v>
      </c>
      <c r="L68" s="116" t="s">
        <v>248</v>
      </c>
      <c r="M68" s="116" t="s">
        <v>245</v>
      </c>
      <c r="N68" s="116" t="s">
        <v>246</v>
      </c>
      <c r="O68" s="126" t="s">
        <v>72</v>
      </c>
      <c r="P68" s="126" t="s">
        <v>73</v>
      </c>
      <c r="Q68" s="43"/>
      <c r="R68" s="43"/>
      <c r="S68" s="45"/>
    </row>
    <row r="69" s="2" customFormat="1" ht="54" hidden="1" spans="1:19">
      <c r="A69" s="34" t="s">
        <v>223</v>
      </c>
      <c r="B69" s="85" t="s">
        <v>63</v>
      </c>
      <c r="C69" s="85" t="s">
        <v>234</v>
      </c>
      <c r="D69" s="85" t="s">
        <v>249</v>
      </c>
      <c r="E69" s="163" t="s">
        <v>250</v>
      </c>
      <c r="F69" s="85">
        <v>1</v>
      </c>
      <c r="G69" s="85">
        <v>2025.2</v>
      </c>
      <c r="H69" s="85">
        <v>28</v>
      </c>
      <c r="I69" s="85">
        <v>1</v>
      </c>
      <c r="J69" s="125" t="s">
        <v>153</v>
      </c>
      <c r="K69" s="116" t="s">
        <v>251</v>
      </c>
      <c r="L69" s="116" t="s">
        <v>252</v>
      </c>
      <c r="M69" s="116" t="s">
        <v>245</v>
      </c>
      <c r="N69" s="116" t="s">
        <v>253</v>
      </c>
      <c r="O69" s="126" t="s">
        <v>72</v>
      </c>
      <c r="P69" s="126" t="s">
        <v>73</v>
      </c>
      <c r="Q69" s="43"/>
      <c r="R69" s="43"/>
      <c r="S69" s="45"/>
    </row>
    <row r="70" s="2" customFormat="1" ht="27" hidden="1" spans="1:19">
      <c r="A70" s="34" t="s">
        <v>254</v>
      </c>
      <c r="B70" s="130" t="s">
        <v>21</v>
      </c>
      <c r="C70" s="130" t="s">
        <v>255</v>
      </c>
      <c r="D70" s="130" t="s">
        <v>256</v>
      </c>
      <c r="E70" s="130" t="s">
        <v>257</v>
      </c>
      <c r="F70" s="130">
        <v>1</v>
      </c>
      <c r="G70" s="130">
        <v>2024.1</v>
      </c>
      <c r="H70" s="130">
        <v>25</v>
      </c>
      <c r="I70" s="130">
        <v>1</v>
      </c>
      <c r="J70" s="35" t="s">
        <v>25</v>
      </c>
      <c r="K70" s="116" t="s">
        <v>258</v>
      </c>
      <c r="L70" s="116" t="s">
        <v>259</v>
      </c>
      <c r="M70" s="117" t="s">
        <v>132</v>
      </c>
      <c r="N70" s="137" t="s">
        <v>260</v>
      </c>
      <c r="O70" s="41" t="s">
        <v>72</v>
      </c>
      <c r="P70" s="41" t="s">
        <v>73</v>
      </c>
      <c r="Q70" s="43"/>
      <c r="R70" s="43"/>
      <c r="S70" s="45"/>
    </row>
    <row r="71" s="2" customFormat="1" ht="27" hidden="1" spans="1:19">
      <c r="A71" s="34" t="s">
        <v>254</v>
      </c>
      <c r="B71" s="130" t="s">
        <v>21</v>
      </c>
      <c r="C71" s="130" t="s">
        <v>255</v>
      </c>
      <c r="D71" s="130" t="s">
        <v>256</v>
      </c>
      <c r="E71" s="130" t="s">
        <v>257</v>
      </c>
      <c r="F71" s="130">
        <v>1</v>
      </c>
      <c r="G71" s="130">
        <v>2024.1</v>
      </c>
      <c r="H71" s="130">
        <v>25</v>
      </c>
      <c r="I71" s="130">
        <v>1</v>
      </c>
      <c r="J71" s="35" t="s">
        <v>25</v>
      </c>
      <c r="K71" s="116" t="s">
        <v>261</v>
      </c>
      <c r="L71" s="116" t="s">
        <v>262</v>
      </c>
      <c r="M71" s="117" t="s">
        <v>132</v>
      </c>
      <c r="N71" s="137" t="s">
        <v>260</v>
      </c>
      <c r="O71" s="41" t="s">
        <v>72</v>
      </c>
      <c r="P71" s="41" t="s">
        <v>73</v>
      </c>
      <c r="Q71" s="43"/>
      <c r="R71" s="43"/>
      <c r="S71" s="45"/>
    </row>
    <row r="72" s="2" customFormat="1" ht="27" hidden="1" spans="1:19">
      <c r="A72" s="34" t="s">
        <v>254</v>
      </c>
      <c r="B72" s="130" t="s">
        <v>21</v>
      </c>
      <c r="C72" s="130" t="s">
        <v>255</v>
      </c>
      <c r="D72" s="130" t="s">
        <v>256</v>
      </c>
      <c r="E72" s="130" t="s">
        <v>257</v>
      </c>
      <c r="F72" s="130">
        <v>1</v>
      </c>
      <c r="G72" s="130">
        <v>2024.1</v>
      </c>
      <c r="H72" s="130">
        <v>25</v>
      </c>
      <c r="I72" s="130">
        <v>1</v>
      </c>
      <c r="J72" s="35" t="s">
        <v>25</v>
      </c>
      <c r="K72" s="116" t="s">
        <v>263</v>
      </c>
      <c r="L72" s="116" t="s">
        <v>264</v>
      </c>
      <c r="M72" s="117" t="s">
        <v>84</v>
      </c>
      <c r="N72" s="137" t="s">
        <v>84</v>
      </c>
      <c r="O72" s="41" t="s">
        <v>72</v>
      </c>
      <c r="P72" s="41" t="s">
        <v>73</v>
      </c>
      <c r="Q72" s="43"/>
      <c r="R72" s="43"/>
      <c r="S72" s="45"/>
    </row>
    <row r="73" s="2" customFormat="1" ht="27" hidden="1" spans="1:19">
      <c r="A73" s="34" t="s">
        <v>254</v>
      </c>
      <c r="B73" s="130" t="s">
        <v>21</v>
      </c>
      <c r="C73" s="130" t="s">
        <v>255</v>
      </c>
      <c r="D73" s="130" t="s">
        <v>256</v>
      </c>
      <c r="E73" s="130" t="s">
        <v>257</v>
      </c>
      <c r="F73" s="130">
        <v>1</v>
      </c>
      <c r="G73" s="130">
        <v>2024.1</v>
      </c>
      <c r="H73" s="130">
        <v>25</v>
      </c>
      <c r="I73" s="130">
        <v>1</v>
      </c>
      <c r="J73" s="35" t="s">
        <v>25</v>
      </c>
      <c r="K73" s="116" t="s">
        <v>265</v>
      </c>
      <c r="L73" s="116" t="s">
        <v>266</v>
      </c>
      <c r="M73" s="117" t="s">
        <v>84</v>
      </c>
      <c r="N73" s="137" t="s">
        <v>84</v>
      </c>
      <c r="O73" s="41" t="s">
        <v>72</v>
      </c>
      <c r="P73" s="41" t="s">
        <v>73</v>
      </c>
      <c r="Q73" s="43"/>
      <c r="R73" s="43"/>
      <c r="S73" s="45"/>
    </row>
    <row r="74" s="2" customFormat="1" ht="27" hidden="1" spans="1:19">
      <c r="A74" s="34" t="s">
        <v>254</v>
      </c>
      <c r="B74" s="130" t="s">
        <v>21</v>
      </c>
      <c r="C74" s="130" t="s">
        <v>255</v>
      </c>
      <c r="D74" s="130" t="s">
        <v>256</v>
      </c>
      <c r="E74" s="130" t="s">
        <v>257</v>
      </c>
      <c r="F74" s="130">
        <v>1</v>
      </c>
      <c r="G74" s="130">
        <v>2024.1</v>
      </c>
      <c r="H74" s="130">
        <v>25</v>
      </c>
      <c r="I74" s="130">
        <v>1</v>
      </c>
      <c r="J74" s="35" t="s">
        <v>25</v>
      </c>
      <c r="K74" s="116" t="s">
        <v>267</v>
      </c>
      <c r="L74" s="116" t="s">
        <v>268</v>
      </c>
      <c r="M74" s="117" t="s">
        <v>52</v>
      </c>
      <c r="N74" s="137" t="s">
        <v>269</v>
      </c>
      <c r="O74" s="41" t="s">
        <v>72</v>
      </c>
      <c r="P74" s="41" t="s">
        <v>73</v>
      </c>
      <c r="Q74" s="43"/>
      <c r="R74" s="43"/>
      <c r="S74" s="45"/>
    </row>
    <row r="75" s="2" customFormat="1" ht="27" hidden="1" spans="1:19">
      <c r="A75" s="34" t="s">
        <v>254</v>
      </c>
      <c r="B75" s="85" t="s">
        <v>63</v>
      </c>
      <c r="C75" s="85" t="s">
        <v>270</v>
      </c>
      <c r="D75" s="85" t="s">
        <v>271</v>
      </c>
      <c r="E75" s="164" t="s">
        <v>272</v>
      </c>
      <c r="F75" s="85">
        <v>1</v>
      </c>
      <c r="G75" s="85">
        <v>2023.8</v>
      </c>
      <c r="H75" s="85">
        <v>30</v>
      </c>
      <c r="I75" s="85">
        <v>1</v>
      </c>
      <c r="J75" s="35" t="s">
        <v>153</v>
      </c>
      <c r="K75" s="37" t="s">
        <v>273</v>
      </c>
      <c r="L75" s="116" t="s">
        <v>274</v>
      </c>
      <c r="M75" s="117" t="s">
        <v>70</v>
      </c>
      <c r="N75" s="40" t="s">
        <v>71</v>
      </c>
      <c r="O75" s="41" t="s">
        <v>72</v>
      </c>
      <c r="P75" s="41" t="s">
        <v>73</v>
      </c>
      <c r="Q75" s="43"/>
      <c r="R75" s="43"/>
      <c r="S75" s="45"/>
    </row>
    <row r="76" s="2" customFormat="1" hidden="1" spans="1:19">
      <c r="A76" s="34" t="s">
        <v>254</v>
      </c>
      <c r="B76" s="85" t="s">
        <v>63</v>
      </c>
      <c r="C76" s="85" t="s">
        <v>275</v>
      </c>
      <c r="D76" s="85" t="s">
        <v>276</v>
      </c>
      <c r="E76" s="181" t="s">
        <v>277</v>
      </c>
      <c r="F76" s="85">
        <v>1</v>
      </c>
      <c r="G76" s="85">
        <v>2024.1</v>
      </c>
      <c r="H76" s="85">
        <v>4</v>
      </c>
      <c r="I76" s="85">
        <v>1</v>
      </c>
      <c r="J76" s="35" t="s">
        <v>278</v>
      </c>
      <c r="K76" s="116" t="s">
        <v>279</v>
      </c>
      <c r="L76" s="116" t="s">
        <v>280</v>
      </c>
      <c r="M76" s="117" t="s">
        <v>52</v>
      </c>
      <c r="N76" s="137" t="s">
        <v>187</v>
      </c>
      <c r="O76" s="41" t="s">
        <v>72</v>
      </c>
      <c r="P76" s="41" t="s">
        <v>73</v>
      </c>
      <c r="Q76" s="43"/>
      <c r="R76" s="43"/>
      <c r="S76" s="45"/>
    </row>
    <row r="77" s="2" customFormat="1" hidden="1" spans="1:19">
      <c r="A77" s="34" t="s">
        <v>254</v>
      </c>
      <c r="B77" s="35" t="s">
        <v>21</v>
      </c>
      <c r="C77" s="35" t="s">
        <v>281</v>
      </c>
      <c r="D77" s="35" t="s">
        <v>282</v>
      </c>
      <c r="E77" s="35" t="s">
        <v>283</v>
      </c>
      <c r="F77" s="35">
        <v>6</v>
      </c>
      <c r="G77" s="35">
        <v>2025.4</v>
      </c>
      <c r="H77" s="35">
        <v>22</v>
      </c>
      <c r="I77" s="35">
        <v>6</v>
      </c>
      <c r="J77" s="35" t="s">
        <v>25</v>
      </c>
      <c r="K77" s="140" t="s">
        <v>284</v>
      </c>
      <c r="L77" s="140" t="s">
        <v>285</v>
      </c>
      <c r="M77" s="140" t="s">
        <v>28</v>
      </c>
      <c r="N77" s="141" t="s">
        <v>176</v>
      </c>
      <c r="O77" s="41" t="s">
        <v>72</v>
      </c>
      <c r="P77" s="41" t="s">
        <v>73</v>
      </c>
      <c r="Q77" s="43"/>
      <c r="R77" s="43"/>
      <c r="S77" s="45"/>
    </row>
    <row r="78" s="2" customFormat="1" hidden="1" spans="1:19">
      <c r="A78" s="34" t="s">
        <v>254</v>
      </c>
      <c r="B78" s="35" t="s">
        <v>21</v>
      </c>
      <c r="C78" s="35" t="s">
        <v>281</v>
      </c>
      <c r="D78" s="35" t="s">
        <v>282</v>
      </c>
      <c r="E78" s="35" t="s">
        <v>283</v>
      </c>
      <c r="F78" s="35">
        <v>6</v>
      </c>
      <c r="G78" s="35">
        <v>2025.4</v>
      </c>
      <c r="H78" s="35">
        <v>22</v>
      </c>
      <c r="I78" s="35">
        <v>6</v>
      </c>
      <c r="J78" s="35" t="s">
        <v>25</v>
      </c>
      <c r="K78" s="39" t="s">
        <v>286</v>
      </c>
      <c r="L78" s="39" t="s">
        <v>287</v>
      </c>
      <c r="M78" s="39" t="s">
        <v>52</v>
      </c>
      <c r="N78" s="40" t="s">
        <v>53</v>
      </c>
      <c r="O78" s="41" t="s">
        <v>72</v>
      </c>
      <c r="P78" s="41" t="s">
        <v>73</v>
      </c>
      <c r="Q78" s="43"/>
      <c r="R78" s="43"/>
      <c r="S78" s="45"/>
    </row>
    <row r="79" s="2" customFormat="1" hidden="1" spans="1:19">
      <c r="A79" s="34" t="s">
        <v>254</v>
      </c>
      <c r="B79" s="35" t="s">
        <v>21</v>
      </c>
      <c r="C79" s="35" t="s">
        <v>281</v>
      </c>
      <c r="D79" s="35" t="s">
        <v>282</v>
      </c>
      <c r="E79" s="35" t="s">
        <v>283</v>
      </c>
      <c r="F79" s="35">
        <v>6</v>
      </c>
      <c r="G79" s="35">
        <v>2025.4</v>
      </c>
      <c r="H79" s="35">
        <v>22</v>
      </c>
      <c r="I79" s="35">
        <v>6</v>
      </c>
      <c r="J79" s="35" t="s">
        <v>25</v>
      </c>
      <c r="K79" s="39" t="s">
        <v>288</v>
      </c>
      <c r="L79" s="39" t="s">
        <v>289</v>
      </c>
      <c r="M79" s="39" t="s">
        <v>70</v>
      </c>
      <c r="N79" s="40" t="s">
        <v>71</v>
      </c>
      <c r="O79" s="41" t="s">
        <v>72</v>
      </c>
      <c r="P79" s="41" t="s">
        <v>73</v>
      </c>
      <c r="Q79" s="43"/>
      <c r="R79" s="43"/>
      <c r="S79" s="45"/>
    </row>
    <row r="80" s="2" customFormat="1" ht="27" hidden="1" spans="1:19">
      <c r="A80" s="34" t="s">
        <v>254</v>
      </c>
      <c r="B80" s="35" t="s">
        <v>21</v>
      </c>
      <c r="C80" s="35" t="s">
        <v>281</v>
      </c>
      <c r="D80" s="35" t="s">
        <v>282</v>
      </c>
      <c r="E80" s="35" t="s">
        <v>283</v>
      </c>
      <c r="F80" s="35">
        <v>6</v>
      </c>
      <c r="G80" s="35">
        <v>2025.4</v>
      </c>
      <c r="H80" s="35">
        <v>22</v>
      </c>
      <c r="I80" s="35">
        <v>6</v>
      </c>
      <c r="J80" s="35" t="s">
        <v>25</v>
      </c>
      <c r="K80" s="39" t="s">
        <v>290</v>
      </c>
      <c r="L80" s="39" t="s">
        <v>291</v>
      </c>
      <c r="M80" s="39" t="s">
        <v>36</v>
      </c>
      <c r="N80" s="40" t="s">
        <v>160</v>
      </c>
      <c r="O80" s="41" t="s">
        <v>72</v>
      </c>
      <c r="P80" s="41" t="s">
        <v>73</v>
      </c>
      <c r="Q80" s="43"/>
      <c r="R80" s="43"/>
      <c r="S80" s="45"/>
    </row>
    <row r="81" s="2" customFormat="1" hidden="1" spans="1:19">
      <c r="A81" s="34" t="s">
        <v>254</v>
      </c>
      <c r="B81" s="35" t="s">
        <v>21</v>
      </c>
      <c r="C81" s="35" t="s">
        <v>281</v>
      </c>
      <c r="D81" s="35" t="s">
        <v>282</v>
      </c>
      <c r="E81" s="35" t="s">
        <v>283</v>
      </c>
      <c r="F81" s="35">
        <v>6</v>
      </c>
      <c r="G81" s="35">
        <v>2025.4</v>
      </c>
      <c r="H81" s="35">
        <v>22</v>
      </c>
      <c r="I81" s="35">
        <v>6</v>
      </c>
      <c r="J81" s="35" t="s">
        <v>25</v>
      </c>
      <c r="K81" s="39" t="s">
        <v>292</v>
      </c>
      <c r="L81" s="39" t="s">
        <v>293</v>
      </c>
      <c r="M81" s="39" t="s">
        <v>28</v>
      </c>
      <c r="N81" s="40" t="s">
        <v>29</v>
      </c>
      <c r="O81" s="41" t="s">
        <v>72</v>
      </c>
      <c r="P81" s="41" t="s">
        <v>73</v>
      </c>
      <c r="Q81" s="43"/>
      <c r="R81" s="43"/>
      <c r="S81" s="45"/>
    </row>
    <row r="82" s="2" customFormat="1" hidden="1" spans="1:19">
      <c r="A82" s="34" t="s">
        <v>254</v>
      </c>
      <c r="B82" s="35" t="s">
        <v>21</v>
      </c>
      <c r="C82" s="35" t="s">
        <v>281</v>
      </c>
      <c r="D82" s="35" t="s">
        <v>282</v>
      </c>
      <c r="E82" s="35" t="s">
        <v>283</v>
      </c>
      <c r="F82" s="35">
        <v>6</v>
      </c>
      <c r="G82" s="35">
        <v>2025.4</v>
      </c>
      <c r="H82" s="35">
        <v>22</v>
      </c>
      <c r="I82" s="35">
        <v>6</v>
      </c>
      <c r="J82" s="35" t="s">
        <v>25</v>
      </c>
      <c r="K82" s="39" t="s">
        <v>294</v>
      </c>
      <c r="L82" s="39" t="s">
        <v>295</v>
      </c>
      <c r="M82" s="39" t="s">
        <v>28</v>
      </c>
      <c r="N82" s="40" t="s">
        <v>29</v>
      </c>
      <c r="O82" s="41" t="s">
        <v>72</v>
      </c>
      <c r="P82" s="41" t="s">
        <v>73</v>
      </c>
      <c r="Q82" s="43"/>
      <c r="R82" s="43"/>
      <c r="S82" s="45"/>
    </row>
    <row r="83" s="2" customFormat="1" hidden="1" spans="1:19">
      <c r="A83" s="34" t="s">
        <v>254</v>
      </c>
      <c r="B83" s="35" t="s">
        <v>21</v>
      </c>
      <c r="C83" s="35" t="s">
        <v>281</v>
      </c>
      <c r="D83" s="35" t="s">
        <v>282</v>
      </c>
      <c r="E83" s="35" t="s">
        <v>283</v>
      </c>
      <c r="F83" s="35">
        <v>6</v>
      </c>
      <c r="G83" s="35">
        <v>2025.4</v>
      </c>
      <c r="H83" s="35">
        <v>22</v>
      </c>
      <c r="I83" s="35">
        <v>6</v>
      </c>
      <c r="J83" s="35" t="s">
        <v>25</v>
      </c>
      <c r="K83" s="39" t="s">
        <v>296</v>
      </c>
      <c r="L83" s="39" t="s">
        <v>297</v>
      </c>
      <c r="M83" s="39" t="s">
        <v>298</v>
      </c>
      <c r="N83" s="40" t="s">
        <v>299</v>
      </c>
      <c r="O83" s="41" t="s">
        <v>72</v>
      </c>
      <c r="P83" s="41" t="s">
        <v>73</v>
      </c>
      <c r="Q83" s="43"/>
      <c r="R83" s="43"/>
      <c r="S83" s="45"/>
    </row>
    <row r="84" s="2" customFormat="1" ht="27" hidden="1" spans="1:19">
      <c r="A84" s="34" t="s">
        <v>254</v>
      </c>
      <c r="B84" s="35" t="s">
        <v>21</v>
      </c>
      <c r="C84" s="35" t="s">
        <v>281</v>
      </c>
      <c r="D84" s="35" t="s">
        <v>282</v>
      </c>
      <c r="E84" s="35" t="s">
        <v>283</v>
      </c>
      <c r="F84" s="35">
        <v>6</v>
      </c>
      <c r="G84" s="35">
        <v>2025.4</v>
      </c>
      <c r="H84" s="35">
        <v>22</v>
      </c>
      <c r="I84" s="35">
        <v>6</v>
      </c>
      <c r="J84" s="35" t="s">
        <v>25</v>
      </c>
      <c r="K84" s="39" t="s">
        <v>300</v>
      </c>
      <c r="L84" s="39" t="s">
        <v>301</v>
      </c>
      <c r="M84" s="39" t="s">
        <v>36</v>
      </c>
      <c r="N84" s="40" t="s">
        <v>160</v>
      </c>
      <c r="O84" s="41" t="s">
        <v>72</v>
      </c>
      <c r="P84" s="41" t="s">
        <v>73</v>
      </c>
      <c r="Q84" s="43"/>
      <c r="R84" s="43"/>
      <c r="S84" s="45"/>
    </row>
    <row r="85" s="2" customFormat="1" ht="27" hidden="1" spans="1:19">
      <c r="A85" s="34" t="s">
        <v>254</v>
      </c>
      <c r="B85" s="35" t="s">
        <v>21</v>
      </c>
      <c r="C85" s="35" t="s">
        <v>281</v>
      </c>
      <c r="D85" s="35" t="s">
        <v>282</v>
      </c>
      <c r="E85" s="35" t="s">
        <v>283</v>
      </c>
      <c r="F85" s="35">
        <v>6</v>
      </c>
      <c r="G85" s="35">
        <v>2025.4</v>
      </c>
      <c r="H85" s="35">
        <v>22</v>
      </c>
      <c r="I85" s="35">
        <v>6</v>
      </c>
      <c r="J85" s="35" t="s">
        <v>25</v>
      </c>
      <c r="K85" s="39" t="s">
        <v>302</v>
      </c>
      <c r="L85" s="39" t="s">
        <v>303</v>
      </c>
      <c r="M85" s="39" t="s">
        <v>36</v>
      </c>
      <c r="N85" s="40" t="s">
        <v>160</v>
      </c>
      <c r="O85" s="41" t="s">
        <v>72</v>
      </c>
      <c r="P85" s="41" t="s">
        <v>73</v>
      </c>
      <c r="Q85" s="43"/>
      <c r="R85" s="43"/>
      <c r="S85" s="45"/>
    </row>
    <row r="86" s="2" customFormat="1" ht="27" hidden="1" spans="1:19">
      <c r="A86" s="43" t="s">
        <v>304</v>
      </c>
      <c r="B86" s="133" t="s">
        <v>305</v>
      </c>
      <c r="C86" s="133"/>
      <c r="D86" s="133"/>
      <c r="E86" s="133"/>
      <c r="F86" s="133"/>
      <c r="G86" s="133"/>
      <c r="H86" s="133"/>
      <c r="I86" s="133"/>
      <c r="J86" s="133"/>
      <c r="K86" s="146" t="s">
        <v>306</v>
      </c>
      <c r="L86" s="147" t="s">
        <v>307</v>
      </c>
      <c r="M86" s="106" t="s">
        <v>308</v>
      </c>
      <c r="N86" s="106" t="s">
        <v>309</v>
      </c>
      <c r="O86" s="128" t="s">
        <v>310</v>
      </c>
      <c r="P86" s="128"/>
      <c r="Q86" s="128"/>
      <c r="R86" s="128"/>
      <c r="S86" s="106"/>
    </row>
    <row r="87" s="2" customFormat="1" ht="27" hidden="1" spans="1:19">
      <c r="A87" s="43" t="s">
        <v>311</v>
      </c>
      <c r="B87" s="133" t="s">
        <v>312</v>
      </c>
      <c r="C87" s="133"/>
      <c r="D87" s="133"/>
      <c r="E87" s="133"/>
      <c r="F87" s="133"/>
      <c r="G87" s="133"/>
      <c r="H87" s="133"/>
      <c r="I87" s="133"/>
      <c r="J87" s="133"/>
      <c r="K87" s="146"/>
      <c r="L87" s="147"/>
      <c r="M87" s="106"/>
      <c r="N87" s="106"/>
      <c r="O87" s="129"/>
      <c r="P87" s="129"/>
      <c r="Q87" s="128"/>
      <c r="R87" s="128"/>
      <c r="S87" s="106"/>
    </row>
    <row r="88" s="2" customFormat="1" ht="27" hidden="1" spans="1:19">
      <c r="A88" s="130" t="s">
        <v>313</v>
      </c>
      <c r="B88" s="130" t="s">
        <v>21</v>
      </c>
      <c r="C88" s="130" t="s">
        <v>314</v>
      </c>
      <c r="D88" s="130" t="s">
        <v>315</v>
      </c>
      <c r="E88" s="130" t="s">
        <v>316</v>
      </c>
      <c r="F88" s="130">
        <v>2</v>
      </c>
      <c r="G88" s="130">
        <v>2024.7</v>
      </c>
      <c r="H88" s="130">
        <v>30</v>
      </c>
      <c r="I88" s="130">
        <v>2</v>
      </c>
      <c r="J88" s="82" t="s">
        <v>67</v>
      </c>
      <c r="K88" s="148" t="s">
        <v>317</v>
      </c>
      <c r="L88" s="116" t="s">
        <v>318</v>
      </c>
      <c r="M88" s="116" t="s">
        <v>52</v>
      </c>
      <c r="N88" s="116" t="s">
        <v>187</v>
      </c>
      <c r="O88" s="149" t="s">
        <v>72</v>
      </c>
      <c r="P88" s="149" t="s">
        <v>73</v>
      </c>
      <c r="Q88" s="43"/>
      <c r="R88" s="43"/>
      <c r="S88" s="45"/>
    </row>
    <row r="89" s="2" customFormat="1" ht="48" hidden="1" customHeight="1" spans="1:19">
      <c r="A89" s="130" t="s">
        <v>313</v>
      </c>
      <c r="B89" s="130" t="s">
        <v>21</v>
      </c>
      <c r="C89" s="130" t="s">
        <v>314</v>
      </c>
      <c r="D89" s="130" t="s">
        <v>315</v>
      </c>
      <c r="E89" s="130" t="s">
        <v>316</v>
      </c>
      <c r="F89" s="130">
        <v>2</v>
      </c>
      <c r="G89" s="130">
        <v>2024.7</v>
      </c>
      <c r="H89" s="130">
        <v>30</v>
      </c>
      <c r="I89" s="130">
        <v>2</v>
      </c>
      <c r="J89" s="82" t="s">
        <v>67</v>
      </c>
      <c r="K89" s="155" t="s">
        <v>317</v>
      </c>
      <c r="L89" s="127" t="s">
        <v>319</v>
      </c>
      <c r="M89" s="127" t="s">
        <v>36</v>
      </c>
      <c r="N89" s="127" t="s">
        <v>160</v>
      </c>
      <c r="O89" s="149" t="s">
        <v>72</v>
      </c>
      <c r="P89" s="149" t="s">
        <v>73</v>
      </c>
      <c r="Q89" s="44"/>
      <c r="R89" s="44"/>
      <c r="S89" s="99"/>
    </row>
    <row r="90" s="192" customFormat="1" ht="24" spans="1:19">
      <c r="A90" s="24" t="s">
        <v>313</v>
      </c>
      <c r="B90" s="24" t="s">
        <v>21</v>
      </c>
      <c r="C90" s="24" t="s">
        <v>314</v>
      </c>
      <c r="D90" s="24" t="s">
        <v>320</v>
      </c>
      <c r="E90" s="24" t="s">
        <v>321</v>
      </c>
      <c r="F90" s="24">
        <v>2</v>
      </c>
      <c r="G90" s="24">
        <v>2023.7</v>
      </c>
      <c r="H90" s="24">
        <v>14</v>
      </c>
      <c r="I90" s="24">
        <v>2</v>
      </c>
      <c r="J90" s="13" t="s">
        <v>67</v>
      </c>
      <c r="K90" s="79" t="s">
        <v>322</v>
      </c>
      <c r="L90" s="19" t="s">
        <v>423</v>
      </c>
      <c r="M90" s="19" t="s">
        <v>44</v>
      </c>
      <c r="N90" s="19" t="s">
        <v>45</v>
      </c>
      <c r="O90" s="13" t="s">
        <v>72</v>
      </c>
      <c r="P90" s="13" t="s">
        <v>73</v>
      </c>
      <c r="Q90" s="14"/>
      <c r="R90" s="14"/>
      <c r="S90" s="15"/>
    </row>
    <row r="91" s="2" customFormat="1" ht="40.5" hidden="1" spans="1:19">
      <c r="A91" s="130" t="s">
        <v>313</v>
      </c>
      <c r="B91" s="130" t="s">
        <v>21</v>
      </c>
      <c r="C91" s="130" t="s">
        <v>314</v>
      </c>
      <c r="D91" s="130" t="s">
        <v>320</v>
      </c>
      <c r="E91" s="130" t="s">
        <v>321</v>
      </c>
      <c r="F91" s="130">
        <v>2</v>
      </c>
      <c r="G91" s="130">
        <v>2023.7</v>
      </c>
      <c r="H91" s="130">
        <v>14</v>
      </c>
      <c r="I91" s="130">
        <v>2</v>
      </c>
      <c r="J91" s="82" t="s">
        <v>67</v>
      </c>
      <c r="K91" s="203" t="s">
        <v>324</v>
      </c>
      <c r="L91" s="198" t="s">
        <v>325</v>
      </c>
      <c r="M91" s="198" t="s">
        <v>70</v>
      </c>
      <c r="N91" s="198" t="s">
        <v>326</v>
      </c>
      <c r="O91" s="149" t="s">
        <v>72</v>
      </c>
      <c r="P91" s="149" t="s">
        <v>73</v>
      </c>
      <c r="Q91" s="129"/>
      <c r="R91" s="129"/>
      <c r="S91" s="199"/>
    </row>
    <row r="92" s="192" customFormat="1" ht="48" spans="1:19">
      <c r="A92" s="24" t="s">
        <v>313</v>
      </c>
      <c r="B92" s="24" t="s">
        <v>21</v>
      </c>
      <c r="C92" s="24" t="s">
        <v>327</v>
      </c>
      <c r="D92" s="24" t="s">
        <v>328</v>
      </c>
      <c r="E92" s="24" t="s">
        <v>329</v>
      </c>
      <c r="F92" s="24">
        <v>10</v>
      </c>
      <c r="G92" s="24">
        <v>2025.4</v>
      </c>
      <c r="H92" s="24">
        <v>30</v>
      </c>
      <c r="I92" s="24">
        <v>10</v>
      </c>
      <c r="J92" s="24" t="s">
        <v>25</v>
      </c>
      <c r="K92" s="19" t="s">
        <v>330</v>
      </c>
      <c r="L92" s="19" t="s">
        <v>331</v>
      </c>
      <c r="M92" s="19" t="s">
        <v>332</v>
      </c>
      <c r="N92" s="19" t="s">
        <v>98</v>
      </c>
      <c r="O92" s="13" t="s">
        <v>72</v>
      </c>
      <c r="P92" s="13" t="s">
        <v>73</v>
      </c>
      <c r="Q92" s="14"/>
      <c r="R92" s="14"/>
      <c r="S92" s="15"/>
    </row>
    <row r="93" s="192" customFormat="1" ht="48" spans="1:19">
      <c r="A93" s="24" t="s">
        <v>313</v>
      </c>
      <c r="B93" s="24" t="s">
        <v>21</v>
      </c>
      <c r="C93" s="24" t="s">
        <v>327</v>
      </c>
      <c r="D93" s="24" t="s">
        <v>328</v>
      </c>
      <c r="E93" s="24" t="s">
        <v>329</v>
      </c>
      <c r="F93" s="24">
        <v>10</v>
      </c>
      <c r="G93" s="24">
        <v>2025.4</v>
      </c>
      <c r="H93" s="24">
        <v>30</v>
      </c>
      <c r="I93" s="24">
        <v>10</v>
      </c>
      <c r="J93" s="24" t="s">
        <v>25</v>
      </c>
      <c r="K93" s="19" t="s">
        <v>330</v>
      </c>
      <c r="L93" s="19" t="s">
        <v>333</v>
      </c>
      <c r="M93" s="19" t="s">
        <v>332</v>
      </c>
      <c r="N93" s="19" t="s">
        <v>98</v>
      </c>
      <c r="O93" s="13" t="s">
        <v>72</v>
      </c>
      <c r="P93" s="13" t="s">
        <v>73</v>
      </c>
      <c r="Q93" s="14"/>
      <c r="R93" s="14"/>
      <c r="S93" s="15"/>
    </row>
    <row r="94" s="192" customFormat="1" ht="48" spans="1:19">
      <c r="A94" s="24" t="s">
        <v>313</v>
      </c>
      <c r="B94" s="24" t="s">
        <v>21</v>
      </c>
      <c r="C94" s="24" t="s">
        <v>327</v>
      </c>
      <c r="D94" s="24" t="s">
        <v>328</v>
      </c>
      <c r="E94" s="24" t="s">
        <v>329</v>
      </c>
      <c r="F94" s="24">
        <v>10</v>
      </c>
      <c r="G94" s="24">
        <v>2025.4</v>
      </c>
      <c r="H94" s="24">
        <v>30</v>
      </c>
      <c r="I94" s="24">
        <v>10</v>
      </c>
      <c r="J94" s="24" t="s">
        <v>25</v>
      </c>
      <c r="K94" s="19" t="s">
        <v>330</v>
      </c>
      <c r="L94" s="19" t="s">
        <v>334</v>
      </c>
      <c r="M94" s="19" t="s">
        <v>332</v>
      </c>
      <c r="N94" s="19" t="s">
        <v>98</v>
      </c>
      <c r="O94" s="13" t="s">
        <v>72</v>
      </c>
      <c r="P94" s="13" t="s">
        <v>73</v>
      </c>
      <c r="Q94" s="14"/>
      <c r="R94" s="14"/>
      <c r="S94" s="15"/>
    </row>
    <row r="95" s="192" customFormat="1" ht="48" spans="1:19">
      <c r="A95" s="24" t="s">
        <v>313</v>
      </c>
      <c r="B95" s="24" t="s">
        <v>21</v>
      </c>
      <c r="C95" s="24" t="s">
        <v>327</v>
      </c>
      <c r="D95" s="24" t="s">
        <v>328</v>
      </c>
      <c r="E95" s="24" t="s">
        <v>329</v>
      </c>
      <c r="F95" s="24">
        <v>10</v>
      </c>
      <c r="G95" s="24">
        <v>2025.4</v>
      </c>
      <c r="H95" s="24">
        <v>30</v>
      </c>
      <c r="I95" s="24">
        <v>10</v>
      </c>
      <c r="J95" s="24" t="s">
        <v>25</v>
      </c>
      <c r="K95" s="19" t="s">
        <v>330</v>
      </c>
      <c r="L95" s="19" t="s">
        <v>334</v>
      </c>
      <c r="M95" s="19" t="s">
        <v>332</v>
      </c>
      <c r="N95" s="19" t="s">
        <v>98</v>
      </c>
      <c r="O95" s="13" t="s">
        <v>72</v>
      </c>
      <c r="P95" s="13" t="s">
        <v>73</v>
      </c>
      <c r="Q95" s="14"/>
      <c r="R95" s="14"/>
      <c r="S95" s="15"/>
    </row>
    <row r="96" s="2" customFormat="1" ht="18" hidden="1" customHeight="1" spans="1:19">
      <c r="A96" s="131" t="s">
        <v>335</v>
      </c>
      <c r="B96" s="106" t="s">
        <v>63</v>
      </c>
      <c r="C96" s="106" t="s">
        <v>270</v>
      </c>
      <c r="D96" s="106" t="s">
        <v>336</v>
      </c>
      <c r="E96" s="106" t="s">
        <v>337</v>
      </c>
      <c r="F96" s="106">
        <v>1</v>
      </c>
      <c r="G96" s="106">
        <v>2024.3</v>
      </c>
      <c r="H96" s="106">
        <v>22</v>
      </c>
      <c r="I96" s="106">
        <v>1</v>
      </c>
      <c r="J96" s="131" t="s">
        <v>153</v>
      </c>
      <c r="K96" s="112" t="s">
        <v>338</v>
      </c>
      <c r="L96" s="204" t="s">
        <v>339</v>
      </c>
      <c r="M96" s="162" t="s">
        <v>70</v>
      </c>
      <c r="N96" s="205" t="s">
        <v>71</v>
      </c>
      <c r="O96" s="128" t="s">
        <v>340</v>
      </c>
      <c r="P96" s="128" t="s">
        <v>341</v>
      </c>
      <c r="Q96" s="206"/>
      <c r="R96" s="129"/>
      <c r="S96" s="199"/>
    </row>
    <row r="97" s="2" customFormat="1" ht="27" hidden="1" spans="1:19">
      <c r="A97" s="85" t="s">
        <v>335</v>
      </c>
      <c r="B97" s="45"/>
      <c r="C97" s="45"/>
      <c r="D97" s="45"/>
      <c r="E97" s="45"/>
      <c r="F97" s="45"/>
      <c r="G97" s="45"/>
      <c r="H97" s="45"/>
      <c r="I97" s="45"/>
      <c r="J97" s="85" t="s">
        <v>153</v>
      </c>
      <c r="K97" s="153" t="s">
        <v>342</v>
      </c>
      <c r="L97" s="168" t="s">
        <v>343</v>
      </c>
      <c r="M97" s="153" t="s">
        <v>84</v>
      </c>
      <c r="N97" s="169" t="s">
        <v>84</v>
      </c>
      <c r="O97" s="43"/>
      <c r="P97" s="43"/>
      <c r="S97" s="4"/>
    </row>
    <row r="98" s="84" customFormat="1" hidden="1" spans="1:16">
      <c r="A98" s="34" t="s">
        <v>335</v>
      </c>
      <c r="B98" s="99" t="s">
        <v>63</v>
      </c>
      <c r="C98" s="99" t="s">
        <v>344</v>
      </c>
      <c r="D98" s="99" t="s">
        <v>206</v>
      </c>
      <c r="E98" s="202" t="s">
        <v>207</v>
      </c>
      <c r="F98" s="99">
        <v>2</v>
      </c>
      <c r="G98" s="99">
        <v>2025.4</v>
      </c>
      <c r="H98" s="99">
        <v>18</v>
      </c>
      <c r="I98" s="99">
        <v>2</v>
      </c>
      <c r="J98" s="34" t="s">
        <v>153</v>
      </c>
      <c r="K98" s="99" t="s">
        <v>345</v>
      </c>
      <c r="L98" s="84" t="s">
        <v>346</v>
      </c>
      <c r="M98" s="84" t="s">
        <v>52</v>
      </c>
      <c r="N98" s="84" t="s">
        <v>187</v>
      </c>
      <c r="O98" s="99" t="s">
        <v>347</v>
      </c>
      <c r="P98" s="99" t="s">
        <v>157</v>
      </c>
    </row>
    <row r="99" s="193" customFormat="1" ht="24" spans="1:19">
      <c r="A99" s="24" t="s">
        <v>335</v>
      </c>
      <c r="B99" s="24" t="s">
        <v>21</v>
      </c>
      <c r="C99" s="24" t="s">
        <v>348</v>
      </c>
      <c r="D99" s="24" t="s">
        <v>349</v>
      </c>
      <c r="E99" s="24" t="s">
        <v>350</v>
      </c>
      <c r="F99" s="24">
        <v>7</v>
      </c>
      <c r="G99" s="24">
        <v>2024.11</v>
      </c>
      <c r="H99" s="24">
        <v>20</v>
      </c>
      <c r="I99" s="24">
        <v>7</v>
      </c>
      <c r="J99" s="24" t="s">
        <v>153</v>
      </c>
      <c r="K99" s="15" t="s">
        <v>351</v>
      </c>
      <c r="L99" s="19" t="s">
        <v>352</v>
      </c>
      <c r="M99" s="15" t="s">
        <v>353</v>
      </c>
      <c r="N99" s="15" t="s">
        <v>354</v>
      </c>
      <c r="O99" s="24" t="s">
        <v>355</v>
      </c>
      <c r="P99" s="24" t="s">
        <v>73</v>
      </c>
      <c r="Q99" s="24"/>
      <c r="R99" s="24"/>
      <c r="S99" s="24"/>
    </row>
    <row r="100" s="193" customFormat="1" ht="24" spans="1:19">
      <c r="A100" s="24" t="s">
        <v>335</v>
      </c>
      <c r="B100" s="24" t="s">
        <v>21</v>
      </c>
      <c r="C100" s="24" t="s">
        <v>348</v>
      </c>
      <c r="D100" s="24" t="s">
        <v>349</v>
      </c>
      <c r="E100" s="24" t="s">
        <v>350</v>
      </c>
      <c r="F100" s="24">
        <v>7</v>
      </c>
      <c r="G100" s="24">
        <v>2024.11</v>
      </c>
      <c r="H100" s="24">
        <v>20</v>
      </c>
      <c r="I100" s="24">
        <v>7</v>
      </c>
      <c r="J100" s="24" t="s">
        <v>153</v>
      </c>
      <c r="K100" s="15" t="s">
        <v>356</v>
      </c>
      <c r="L100" s="19" t="s">
        <v>357</v>
      </c>
      <c r="M100" s="15" t="s">
        <v>353</v>
      </c>
      <c r="N100" s="15" t="s">
        <v>354</v>
      </c>
      <c r="O100" s="24" t="s">
        <v>355</v>
      </c>
      <c r="P100" s="24" t="s">
        <v>73</v>
      </c>
      <c r="Q100" s="24"/>
      <c r="R100" s="24"/>
      <c r="S100" s="24"/>
    </row>
    <row r="101" s="193" customFormat="1" ht="24" spans="1:19">
      <c r="A101" s="24" t="s">
        <v>335</v>
      </c>
      <c r="B101" s="24" t="s">
        <v>21</v>
      </c>
      <c r="C101" s="24" t="s">
        <v>348</v>
      </c>
      <c r="D101" s="24" t="s">
        <v>349</v>
      </c>
      <c r="E101" s="24" t="s">
        <v>350</v>
      </c>
      <c r="F101" s="24">
        <v>7</v>
      </c>
      <c r="G101" s="24">
        <v>2024.11</v>
      </c>
      <c r="H101" s="24">
        <v>20</v>
      </c>
      <c r="I101" s="24">
        <v>7</v>
      </c>
      <c r="J101" s="24" t="s">
        <v>153</v>
      </c>
      <c r="K101" s="15" t="s">
        <v>358</v>
      </c>
      <c r="L101" s="19" t="s">
        <v>359</v>
      </c>
      <c r="M101" s="15" t="s">
        <v>353</v>
      </c>
      <c r="N101" s="15" t="s">
        <v>354</v>
      </c>
      <c r="O101" s="24" t="s">
        <v>355</v>
      </c>
      <c r="P101" s="24" t="s">
        <v>73</v>
      </c>
      <c r="Q101" s="24"/>
      <c r="R101" s="24"/>
      <c r="S101" s="24"/>
    </row>
    <row r="102" s="193" customFormat="1" ht="24" spans="1:19">
      <c r="A102" s="24" t="s">
        <v>335</v>
      </c>
      <c r="B102" s="24" t="s">
        <v>21</v>
      </c>
      <c r="C102" s="24" t="s">
        <v>348</v>
      </c>
      <c r="D102" s="24" t="s">
        <v>349</v>
      </c>
      <c r="E102" s="24" t="s">
        <v>350</v>
      </c>
      <c r="F102" s="24">
        <v>7</v>
      </c>
      <c r="G102" s="24">
        <v>2024.11</v>
      </c>
      <c r="H102" s="24">
        <v>20</v>
      </c>
      <c r="I102" s="24">
        <v>7</v>
      </c>
      <c r="J102" s="24" t="s">
        <v>153</v>
      </c>
      <c r="K102" s="15" t="s">
        <v>360</v>
      </c>
      <c r="L102" s="19" t="s">
        <v>361</v>
      </c>
      <c r="M102" s="15" t="s">
        <v>353</v>
      </c>
      <c r="N102" s="15" t="s">
        <v>354</v>
      </c>
      <c r="O102" s="24" t="s">
        <v>355</v>
      </c>
      <c r="P102" s="24" t="s">
        <v>73</v>
      </c>
      <c r="Q102" s="24"/>
      <c r="R102" s="24"/>
      <c r="S102" s="24"/>
    </row>
    <row r="103" s="193" customFormat="1" ht="24" spans="1:19">
      <c r="A103" s="24" t="s">
        <v>335</v>
      </c>
      <c r="B103" s="24" t="s">
        <v>21</v>
      </c>
      <c r="C103" s="24" t="s">
        <v>348</v>
      </c>
      <c r="D103" s="24" t="s">
        <v>349</v>
      </c>
      <c r="E103" s="24" t="s">
        <v>350</v>
      </c>
      <c r="F103" s="24">
        <v>7</v>
      </c>
      <c r="G103" s="24">
        <v>2024.11</v>
      </c>
      <c r="H103" s="24">
        <v>20</v>
      </c>
      <c r="I103" s="24">
        <v>7</v>
      </c>
      <c r="J103" s="24" t="s">
        <v>153</v>
      </c>
      <c r="K103" s="15" t="s">
        <v>362</v>
      </c>
      <c r="L103" s="19" t="s">
        <v>363</v>
      </c>
      <c r="M103" s="15" t="s">
        <v>353</v>
      </c>
      <c r="N103" s="15" t="s">
        <v>354</v>
      </c>
      <c r="O103" s="24" t="s">
        <v>355</v>
      </c>
      <c r="P103" s="24" t="s">
        <v>73</v>
      </c>
      <c r="Q103" s="24"/>
      <c r="R103" s="24"/>
      <c r="S103" s="24"/>
    </row>
    <row r="104" s="193" customFormat="1" ht="24" spans="1:19">
      <c r="A104" s="24" t="s">
        <v>335</v>
      </c>
      <c r="B104" s="24" t="s">
        <v>21</v>
      </c>
      <c r="C104" s="24" t="s">
        <v>348</v>
      </c>
      <c r="D104" s="24" t="s">
        <v>349</v>
      </c>
      <c r="E104" s="24" t="s">
        <v>350</v>
      </c>
      <c r="F104" s="24">
        <v>7</v>
      </c>
      <c r="G104" s="24">
        <v>2024.11</v>
      </c>
      <c r="H104" s="24">
        <v>20</v>
      </c>
      <c r="I104" s="24">
        <v>7</v>
      </c>
      <c r="J104" s="24" t="s">
        <v>153</v>
      </c>
      <c r="K104" s="15" t="s">
        <v>364</v>
      </c>
      <c r="L104" s="19" t="s">
        <v>365</v>
      </c>
      <c r="M104" s="15" t="s">
        <v>353</v>
      </c>
      <c r="N104" s="15" t="s">
        <v>354</v>
      </c>
      <c r="O104" s="24" t="s">
        <v>355</v>
      </c>
      <c r="P104" s="24" t="s">
        <v>73</v>
      </c>
      <c r="Q104" s="24"/>
      <c r="R104" s="24"/>
      <c r="S104" s="24"/>
    </row>
    <row r="105" s="84" customFormat="1" ht="40.5" hidden="1" spans="1:17">
      <c r="A105" s="131" t="s">
        <v>366</v>
      </c>
      <c r="B105" s="136" t="s">
        <v>21</v>
      </c>
      <c r="C105" s="136" t="s">
        <v>367</v>
      </c>
      <c r="D105" s="136" t="s">
        <v>368</v>
      </c>
      <c r="E105" s="136" t="s">
        <v>369</v>
      </c>
      <c r="F105" s="136">
        <v>11</v>
      </c>
      <c r="G105" s="136">
        <v>2025.2</v>
      </c>
      <c r="H105" s="136">
        <v>22</v>
      </c>
      <c r="I105" s="136">
        <v>11</v>
      </c>
      <c r="J105" s="136" t="s">
        <v>278</v>
      </c>
      <c r="K105" s="144" t="s">
        <v>370</v>
      </c>
      <c r="L105" s="144" t="s">
        <v>371</v>
      </c>
      <c r="M105" s="144" t="s">
        <v>132</v>
      </c>
      <c r="N105" s="144" t="s">
        <v>372</v>
      </c>
      <c r="O105" s="131" t="s">
        <v>72</v>
      </c>
      <c r="P105" s="131" t="s">
        <v>73</v>
      </c>
      <c r="Q105" s="131"/>
    </row>
    <row r="106" s="2" customFormat="1" ht="40.5" hidden="1" spans="1:17">
      <c r="A106" s="85" t="s">
        <v>366</v>
      </c>
      <c r="B106" s="41" t="s">
        <v>21</v>
      </c>
      <c r="C106" s="41" t="s">
        <v>367</v>
      </c>
      <c r="D106" s="41" t="s">
        <v>368</v>
      </c>
      <c r="E106" s="41" t="s">
        <v>369</v>
      </c>
      <c r="F106" s="41">
        <v>11</v>
      </c>
      <c r="G106" s="41">
        <v>2025.2</v>
      </c>
      <c r="H106" s="41">
        <v>22</v>
      </c>
      <c r="I106" s="41">
        <v>11</v>
      </c>
      <c r="J106" s="41" t="s">
        <v>278</v>
      </c>
      <c r="K106" s="39" t="s">
        <v>373</v>
      </c>
      <c r="L106" s="39" t="s">
        <v>374</v>
      </c>
      <c r="M106" s="39" t="s">
        <v>375</v>
      </c>
      <c r="N106" s="39" t="s">
        <v>376</v>
      </c>
      <c r="O106" s="85"/>
      <c r="P106" s="85" t="s">
        <v>73</v>
      </c>
      <c r="Q106" s="43"/>
    </row>
    <row r="107" s="2" customFormat="1" ht="27" hidden="1" spans="1:19">
      <c r="A107" s="85" t="s">
        <v>366</v>
      </c>
      <c r="B107" s="41" t="s">
        <v>21</v>
      </c>
      <c r="C107" s="41" t="s">
        <v>367</v>
      </c>
      <c r="D107" s="41" t="s">
        <v>368</v>
      </c>
      <c r="E107" s="41" t="s">
        <v>369</v>
      </c>
      <c r="F107" s="41">
        <v>11</v>
      </c>
      <c r="G107" s="41">
        <v>2025.2</v>
      </c>
      <c r="H107" s="41">
        <v>22</v>
      </c>
      <c r="I107" s="41">
        <v>11</v>
      </c>
      <c r="J107" s="41" t="s">
        <v>278</v>
      </c>
      <c r="K107" s="39" t="s">
        <v>377</v>
      </c>
      <c r="L107" s="39" t="s">
        <v>378</v>
      </c>
      <c r="M107" s="39" t="s">
        <v>132</v>
      </c>
      <c r="N107" s="39" t="s">
        <v>372</v>
      </c>
      <c r="O107" s="85"/>
      <c r="P107" s="85" t="s">
        <v>73</v>
      </c>
      <c r="Q107" s="43"/>
      <c r="R107" s="158"/>
      <c r="S107" s="45"/>
    </row>
    <row r="108" s="2" customFormat="1" ht="27" hidden="1" spans="1:19">
      <c r="A108" s="85" t="s">
        <v>366</v>
      </c>
      <c r="B108" s="41" t="s">
        <v>21</v>
      </c>
      <c r="C108" s="41" t="s">
        <v>367</v>
      </c>
      <c r="D108" s="41" t="s">
        <v>368</v>
      </c>
      <c r="E108" s="41" t="s">
        <v>369</v>
      </c>
      <c r="F108" s="41">
        <v>11</v>
      </c>
      <c r="G108" s="41">
        <v>2025.2</v>
      </c>
      <c r="H108" s="41">
        <v>22</v>
      </c>
      <c r="I108" s="41">
        <v>11</v>
      </c>
      <c r="J108" s="41" t="s">
        <v>278</v>
      </c>
      <c r="K108" s="39" t="s">
        <v>379</v>
      </c>
      <c r="L108" s="39" t="s">
        <v>380</v>
      </c>
      <c r="M108" s="157"/>
      <c r="N108" s="157"/>
      <c r="O108" s="85"/>
      <c r="P108" s="85" t="s">
        <v>73</v>
      </c>
      <c r="Q108" s="43"/>
      <c r="R108" s="158"/>
      <c r="S108" s="45"/>
    </row>
    <row r="109" s="2" customFormat="1" ht="40.5" hidden="1" spans="1:19">
      <c r="A109" s="85" t="s">
        <v>366</v>
      </c>
      <c r="B109" s="41" t="s">
        <v>21</v>
      </c>
      <c r="C109" s="41" t="s">
        <v>367</v>
      </c>
      <c r="D109" s="41" t="s">
        <v>368</v>
      </c>
      <c r="E109" s="41" t="s">
        <v>369</v>
      </c>
      <c r="F109" s="41">
        <v>11</v>
      </c>
      <c r="G109" s="41">
        <v>2025.2</v>
      </c>
      <c r="H109" s="41">
        <v>22</v>
      </c>
      <c r="I109" s="41">
        <v>11</v>
      </c>
      <c r="J109" s="41" t="s">
        <v>278</v>
      </c>
      <c r="K109" s="39" t="s">
        <v>381</v>
      </c>
      <c r="L109" s="39" t="s">
        <v>382</v>
      </c>
      <c r="M109" s="39" t="s">
        <v>383</v>
      </c>
      <c r="N109" s="39" t="s">
        <v>176</v>
      </c>
      <c r="O109" s="85"/>
      <c r="P109" s="85" t="s">
        <v>73</v>
      </c>
      <c r="Q109" s="43"/>
      <c r="R109" s="158"/>
      <c r="S109" s="45"/>
    </row>
    <row r="110" s="2" customFormat="1" ht="21" hidden="1" customHeight="1" spans="1:19">
      <c r="A110" s="85" t="s">
        <v>366</v>
      </c>
      <c r="B110" s="41" t="s">
        <v>21</v>
      </c>
      <c r="C110" s="41" t="s">
        <v>367</v>
      </c>
      <c r="D110" s="41" t="s">
        <v>368</v>
      </c>
      <c r="E110" s="41" t="s">
        <v>369</v>
      </c>
      <c r="F110" s="41">
        <v>11</v>
      </c>
      <c r="G110" s="41">
        <v>2025.2</v>
      </c>
      <c r="H110" s="41">
        <v>22</v>
      </c>
      <c r="I110" s="41">
        <v>11</v>
      </c>
      <c r="J110" s="41" t="s">
        <v>278</v>
      </c>
      <c r="K110" s="39" t="s">
        <v>384</v>
      </c>
      <c r="L110" s="39" t="s">
        <v>385</v>
      </c>
      <c r="M110" s="39" t="s">
        <v>70</v>
      </c>
      <c r="N110" s="39" t="s">
        <v>168</v>
      </c>
      <c r="O110" s="85"/>
      <c r="P110" s="85" t="s">
        <v>73</v>
      </c>
      <c r="Q110" s="43"/>
      <c r="R110" s="158"/>
      <c r="S110" s="45"/>
    </row>
    <row r="111" s="2" customFormat="1" ht="27" hidden="1" spans="1:19">
      <c r="A111" s="85" t="s">
        <v>366</v>
      </c>
      <c r="B111" s="41" t="s">
        <v>21</v>
      </c>
      <c r="C111" s="41" t="s">
        <v>367</v>
      </c>
      <c r="D111" s="41" t="s">
        <v>368</v>
      </c>
      <c r="E111" s="41" t="s">
        <v>369</v>
      </c>
      <c r="F111" s="41">
        <v>11</v>
      </c>
      <c r="G111" s="41">
        <v>2025.2</v>
      </c>
      <c r="H111" s="41">
        <v>22</v>
      </c>
      <c r="I111" s="41">
        <v>11</v>
      </c>
      <c r="J111" s="41" t="s">
        <v>278</v>
      </c>
      <c r="K111" s="39" t="s">
        <v>424</v>
      </c>
      <c r="L111" s="157" t="s">
        <v>387</v>
      </c>
      <c r="M111" s="39" t="s">
        <v>388</v>
      </c>
      <c r="N111" s="157"/>
      <c r="O111" s="85"/>
      <c r="P111" s="85" t="s">
        <v>73</v>
      </c>
      <c r="Q111" s="43"/>
      <c r="R111" s="158"/>
      <c r="S111" s="45"/>
    </row>
    <row r="112" s="2" customFormat="1" ht="27" hidden="1" spans="1:19">
      <c r="A112" s="85" t="s">
        <v>366</v>
      </c>
      <c r="B112" s="41" t="s">
        <v>21</v>
      </c>
      <c r="C112" s="41" t="s">
        <v>367</v>
      </c>
      <c r="D112" s="41" t="s">
        <v>368</v>
      </c>
      <c r="E112" s="41" t="s">
        <v>369</v>
      </c>
      <c r="F112" s="41">
        <v>11</v>
      </c>
      <c r="G112" s="41">
        <v>2025.2</v>
      </c>
      <c r="H112" s="41">
        <v>22</v>
      </c>
      <c r="I112" s="41">
        <v>11</v>
      </c>
      <c r="J112" s="41" t="s">
        <v>278</v>
      </c>
      <c r="K112" s="39" t="s">
        <v>389</v>
      </c>
      <c r="L112" s="157"/>
      <c r="M112" s="157" t="s">
        <v>230</v>
      </c>
      <c r="N112" s="157" t="s">
        <v>231</v>
      </c>
      <c r="O112" s="85"/>
      <c r="P112" s="85" t="s">
        <v>73</v>
      </c>
      <c r="Q112" s="43"/>
      <c r="R112" s="158"/>
      <c r="S112" s="45"/>
    </row>
    <row r="113" s="2" customFormat="1" ht="27" hidden="1" spans="1:19">
      <c r="A113" s="85" t="s">
        <v>366</v>
      </c>
      <c r="B113" s="41" t="s">
        <v>21</v>
      </c>
      <c r="C113" s="41" t="s">
        <v>367</v>
      </c>
      <c r="D113" s="41" t="s">
        <v>368</v>
      </c>
      <c r="E113" s="41" t="s">
        <v>369</v>
      </c>
      <c r="F113" s="41">
        <v>11</v>
      </c>
      <c r="G113" s="41">
        <v>2025.2</v>
      </c>
      <c r="H113" s="41">
        <v>22</v>
      </c>
      <c r="I113" s="41">
        <v>11</v>
      </c>
      <c r="J113" s="41" t="s">
        <v>278</v>
      </c>
      <c r="K113" s="39" t="s">
        <v>390</v>
      </c>
      <c r="L113" s="39" t="s">
        <v>391</v>
      </c>
      <c r="M113" s="39" t="s">
        <v>28</v>
      </c>
      <c r="N113" s="39" t="s">
        <v>29</v>
      </c>
      <c r="O113" s="85"/>
      <c r="P113" s="85" t="s">
        <v>73</v>
      </c>
      <c r="Q113" s="43"/>
      <c r="R113" s="158"/>
      <c r="S113" s="45"/>
    </row>
    <row r="114" s="2" customFormat="1" ht="40.5" hidden="1" spans="1:19">
      <c r="A114" s="85" t="s">
        <v>366</v>
      </c>
      <c r="B114" s="41" t="s">
        <v>21</v>
      </c>
      <c r="C114" s="41" t="s">
        <v>367</v>
      </c>
      <c r="D114" s="41" t="s">
        <v>368</v>
      </c>
      <c r="E114" s="41" t="s">
        <v>369</v>
      </c>
      <c r="F114" s="41">
        <v>11</v>
      </c>
      <c r="G114" s="41">
        <v>2025.2</v>
      </c>
      <c r="H114" s="41">
        <v>22</v>
      </c>
      <c r="I114" s="41">
        <v>11</v>
      </c>
      <c r="J114" s="41" t="s">
        <v>278</v>
      </c>
      <c r="K114" s="39" t="s">
        <v>392</v>
      </c>
      <c r="L114" s="39" t="s">
        <v>393</v>
      </c>
      <c r="M114" s="157" t="s">
        <v>230</v>
      </c>
      <c r="N114" s="157" t="s">
        <v>231</v>
      </c>
      <c r="O114" s="85"/>
      <c r="P114" s="85" t="s">
        <v>73</v>
      </c>
      <c r="Q114" s="43"/>
      <c r="R114" s="2"/>
      <c r="S114" s="4"/>
    </row>
    <row r="115" s="3" customFormat="1" ht="40.5" hidden="1" spans="1:19">
      <c r="A115" s="85" t="s">
        <v>366</v>
      </c>
      <c r="B115" s="41" t="s">
        <v>21</v>
      </c>
      <c r="C115" s="41" t="s">
        <v>367</v>
      </c>
      <c r="D115" s="41" t="s">
        <v>368</v>
      </c>
      <c r="E115" s="41" t="s">
        <v>369</v>
      </c>
      <c r="F115" s="41">
        <v>11</v>
      </c>
      <c r="G115" s="41">
        <v>2025.2</v>
      </c>
      <c r="H115" s="41">
        <v>22</v>
      </c>
      <c r="I115" s="41">
        <v>11</v>
      </c>
      <c r="J115" s="41" t="s">
        <v>278</v>
      </c>
      <c r="K115" s="39" t="s">
        <v>394</v>
      </c>
      <c r="L115" s="39" t="s">
        <v>395</v>
      </c>
      <c r="M115" s="39" t="s">
        <v>36</v>
      </c>
      <c r="N115" s="39" t="s">
        <v>160</v>
      </c>
      <c r="O115" s="85"/>
      <c r="P115" s="85" t="s">
        <v>73</v>
      </c>
      <c r="Q115" s="43"/>
      <c r="R115" s="158"/>
      <c r="S115" s="45"/>
    </row>
    <row r="116" s="194" customFormat="1" ht="24" spans="1:19">
      <c r="A116" s="52" t="s">
        <v>62</v>
      </c>
      <c r="B116" s="52" t="s">
        <v>63</v>
      </c>
      <c r="C116" s="52" t="s">
        <v>64</v>
      </c>
      <c r="D116" s="13" t="s">
        <v>435</v>
      </c>
      <c r="E116" s="13" t="s">
        <v>436</v>
      </c>
      <c r="F116" s="13">
        <v>1</v>
      </c>
      <c r="G116" s="13">
        <v>2025.5</v>
      </c>
      <c r="H116" s="13">
        <v>7</v>
      </c>
      <c r="I116" s="13">
        <v>1</v>
      </c>
      <c r="J116" s="24" t="s">
        <v>67</v>
      </c>
      <c r="K116" s="19" t="s">
        <v>437</v>
      </c>
      <c r="L116" s="19" t="s">
        <v>438</v>
      </c>
      <c r="M116" s="15" t="s">
        <v>44</v>
      </c>
      <c r="N116" s="30" t="s">
        <v>45</v>
      </c>
      <c r="O116" s="75" t="s">
        <v>439</v>
      </c>
      <c r="P116" s="75" t="s">
        <v>440</v>
      </c>
      <c r="Q116" s="14"/>
      <c r="R116" s="14"/>
      <c r="S116" s="15"/>
    </row>
    <row r="117" s="194" customFormat="1" spans="1:19">
      <c r="A117" s="52" t="s">
        <v>149</v>
      </c>
      <c r="B117" s="13" t="s">
        <v>21</v>
      </c>
      <c r="C117" s="13" t="s">
        <v>441</v>
      </c>
      <c r="D117" s="13" t="s">
        <v>172</v>
      </c>
      <c r="E117" s="13" t="s">
        <v>442</v>
      </c>
      <c r="F117" s="13">
        <v>2</v>
      </c>
      <c r="G117" s="13">
        <v>2025.3</v>
      </c>
      <c r="H117" s="13">
        <v>20</v>
      </c>
      <c r="I117" s="13">
        <v>2</v>
      </c>
      <c r="J117" s="24" t="s">
        <v>153</v>
      </c>
      <c r="K117" s="19" t="s">
        <v>443</v>
      </c>
      <c r="L117" s="19" t="s">
        <v>444</v>
      </c>
      <c r="M117" s="15" t="s">
        <v>44</v>
      </c>
      <c r="N117" s="15" t="s">
        <v>45</v>
      </c>
      <c r="O117" s="75" t="s">
        <v>439</v>
      </c>
      <c r="P117" s="75" t="s">
        <v>440</v>
      </c>
      <c r="Q117" s="14"/>
      <c r="R117" s="14"/>
      <c r="S117" s="15"/>
    </row>
    <row r="118" s="194" customFormat="1" spans="1:19">
      <c r="A118" s="52" t="s">
        <v>149</v>
      </c>
      <c r="B118" s="13" t="s">
        <v>21</v>
      </c>
      <c r="C118" s="13" t="s">
        <v>441</v>
      </c>
      <c r="D118" s="13" t="s">
        <v>172</v>
      </c>
      <c r="E118" s="13" t="s">
        <v>445</v>
      </c>
      <c r="F118" s="13">
        <v>3</v>
      </c>
      <c r="G118" s="13">
        <v>2025.3</v>
      </c>
      <c r="H118" s="13">
        <v>6</v>
      </c>
      <c r="I118" s="13">
        <v>3</v>
      </c>
      <c r="J118" s="24" t="s">
        <v>153</v>
      </c>
      <c r="K118" s="19" t="s">
        <v>446</v>
      </c>
      <c r="L118" s="19" t="s">
        <v>447</v>
      </c>
      <c r="M118" s="15" t="s">
        <v>44</v>
      </c>
      <c r="N118" s="15" t="s">
        <v>45</v>
      </c>
      <c r="O118" s="75" t="s">
        <v>439</v>
      </c>
      <c r="P118" s="75" t="s">
        <v>440</v>
      </c>
      <c r="Q118" s="14"/>
      <c r="R118" s="14"/>
      <c r="S118" s="15"/>
    </row>
    <row r="119" s="194" customFormat="1" spans="1:19">
      <c r="A119" s="52" t="s">
        <v>149</v>
      </c>
      <c r="B119" s="13" t="s">
        <v>21</v>
      </c>
      <c r="C119" s="13" t="s">
        <v>441</v>
      </c>
      <c r="D119" s="13" t="s">
        <v>172</v>
      </c>
      <c r="E119" s="13" t="s">
        <v>445</v>
      </c>
      <c r="F119" s="13">
        <v>3</v>
      </c>
      <c r="G119" s="13">
        <v>2025.3</v>
      </c>
      <c r="H119" s="13">
        <v>6</v>
      </c>
      <c r="I119" s="13">
        <v>3</v>
      </c>
      <c r="J119" s="24" t="s">
        <v>153</v>
      </c>
      <c r="K119" s="19" t="s">
        <v>448</v>
      </c>
      <c r="L119" s="19" t="s">
        <v>449</v>
      </c>
      <c r="M119" s="15" t="s">
        <v>44</v>
      </c>
      <c r="N119" s="15" t="s">
        <v>45</v>
      </c>
      <c r="O119" s="75" t="s">
        <v>439</v>
      </c>
      <c r="P119" s="75" t="s">
        <v>440</v>
      </c>
      <c r="Q119" s="14"/>
      <c r="R119" s="14"/>
      <c r="S119" s="15"/>
    </row>
    <row r="120" s="194" customFormat="1" spans="1:19">
      <c r="A120" s="52" t="s">
        <v>149</v>
      </c>
      <c r="B120" s="13" t="s">
        <v>21</v>
      </c>
      <c r="C120" s="13" t="s">
        <v>441</v>
      </c>
      <c r="D120" s="13" t="s">
        <v>172</v>
      </c>
      <c r="E120" s="13" t="s">
        <v>445</v>
      </c>
      <c r="F120" s="13">
        <v>3</v>
      </c>
      <c r="G120" s="13">
        <v>2025.3</v>
      </c>
      <c r="H120" s="13">
        <v>6</v>
      </c>
      <c r="I120" s="13">
        <v>3</v>
      </c>
      <c r="J120" s="24" t="s">
        <v>153</v>
      </c>
      <c r="K120" s="19" t="s">
        <v>450</v>
      </c>
      <c r="L120" s="19" t="s">
        <v>449</v>
      </c>
      <c r="M120" s="15" t="s">
        <v>44</v>
      </c>
      <c r="N120" s="15" t="s">
        <v>45</v>
      </c>
      <c r="O120" s="75" t="s">
        <v>439</v>
      </c>
      <c r="P120" s="75" t="s">
        <v>440</v>
      </c>
      <c r="Q120" s="14"/>
      <c r="R120" s="14"/>
      <c r="S120" s="15"/>
    </row>
    <row r="121" s="194" customFormat="1" spans="1:19">
      <c r="A121" s="52" t="s">
        <v>149</v>
      </c>
      <c r="B121" s="13" t="s">
        <v>21</v>
      </c>
      <c r="C121" s="13" t="s">
        <v>441</v>
      </c>
      <c r="D121" s="13" t="s">
        <v>172</v>
      </c>
      <c r="E121" s="13" t="s">
        <v>445</v>
      </c>
      <c r="F121" s="13">
        <v>3</v>
      </c>
      <c r="G121" s="13">
        <v>2025.3</v>
      </c>
      <c r="H121" s="13">
        <v>6</v>
      </c>
      <c r="I121" s="13">
        <v>3</v>
      </c>
      <c r="J121" s="24" t="s">
        <v>153</v>
      </c>
      <c r="K121" s="19" t="s">
        <v>451</v>
      </c>
      <c r="L121" s="19" t="s">
        <v>449</v>
      </c>
      <c r="M121" s="15" t="s">
        <v>44</v>
      </c>
      <c r="N121" s="15" t="s">
        <v>45</v>
      </c>
      <c r="O121" s="75" t="s">
        <v>439</v>
      </c>
      <c r="P121" s="75" t="s">
        <v>440</v>
      </c>
      <c r="Q121" s="14"/>
      <c r="R121" s="14"/>
      <c r="S121" s="15"/>
    </row>
    <row r="122" ht="24" spans="1:19">
      <c r="A122" s="24" t="s">
        <v>170</v>
      </c>
      <c r="B122" s="13" t="s">
        <v>21</v>
      </c>
      <c r="C122" s="13" t="s">
        <v>171</v>
      </c>
      <c r="D122" s="13" t="s">
        <v>172</v>
      </c>
      <c r="E122" s="13" t="s">
        <v>173</v>
      </c>
      <c r="F122" s="13">
        <v>2</v>
      </c>
      <c r="G122" s="13">
        <v>2025.3</v>
      </c>
      <c r="H122" s="13">
        <v>18</v>
      </c>
      <c r="I122" s="13">
        <v>2</v>
      </c>
      <c r="J122" s="24" t="s">
        <v>153</v>
      </c>
      <c r="K122" s="19" t="s">
        <v>452</v>
      </c>
      <c r="L122" s="19" t="s">
        <v>453</v>
      </c>
      <c r="M122" s="15" t="s">
        <v>44</v>
      </c>
      <c r="N122" s="15" t="s">
        <v>45</v>
      </c>
      <c r="O122" s="75" t="s">
        <v>439</v>
      </c>
      <c r="P122" s="75" t="s">
        <v>440</v>
      </c>
      <c r="Q122" s="14"/>
      <c r="R122" s="14"/>
      <c r="S122" s="15"/>
    </row>
    <row r="123" ht="24" spans="1:19">
      <c r="A123" s="24" t="s">
        <v>170</v>
      </c>
      <c r="B123" s="13" t="s">
        <v>63</v>
      </c>
      <c r="C123" s="13" t="s">
        <v>171</v>
      </c>
      <c r="D123" s="13" t="s">
        <v>454</v>
      </c>
      <c r="E123" s="13" t="s">
        <v>195</v>
      </c>
      <c r="F123" s="13">
        <v>3</v>
      </c>
      <c r="G123" s="13">
        <v>2025.4</v>
      </c>
      <c r="H123" s="13">
        <v>9</v>
      </c>
      <c r="I123" s="13">
        <v>3</v>
      </c>
      <c r="J123" s="24" t="s">
        <v>153</v>
      </c>
      <c r="K123" s="19" t="s">
        <v>455</v>
      </c>
      <c r="L123" s="19" t="s">
        <v>456</v>
      </c>
      <c r="M123" s="15" t="s">
        <v>44</v>
      </c>
      <c r="N123" s="15" t="s">
        <v>45</v>
      </c>
      <c r="O123" s="75" t="s">
        <v>439</v>
      </c>
      <c r="P123" s="75" t="s">
        <v>440</v>
      </c>
      <c r="Q123" s="14"/>
      <c r="R123" s="14"/>
      <c r="S123" s="15"/>
    </row>
    <row r="124" ht="24" spans="1:19">
      <c r="A124" s="24" t="s">
        <v>170</v>
      </c>
      <c r="B124" s="13" t="s">
        <v>63</v>
      </c>
      <c r="C124" s="13" t="s">
        <v>171</v>
      </c>
      <c r="D124" s="13" t="s">
        <v>454</v>
      </c>
      <c r="E124" s="13" t="s">
        <v>195</v>
      </c>
      <c r="F124" s="13">
        <v>3</v>
      </c>
      <c r="G124" s="13">
        <v>2025.4</v>
      </c>
      <c r="H124" s="13">
        <v>9</v>
      </c>
      <c r="I124" s="13">
        <v>3</v>
      </c>
      <c r="J124" s="24" t="s">
        <v>153</v>
      </c>
      <c r="K124" s="19" t="s">
        <v>455</v>
      </c>
      <c r="L124" s="19" t="s">
        <v>456</v>
      </c>
      <c r="M124" s="15" t="s">
        <v>44</v>
      </c>
      <c r="N124" s="15" t="s">
        <v>45</v>
      </c>
      <c r="O124" s="75" t="s">
        <v>439</v>
      </c>
      <c r="P124" s="75" t="s">
        <v>440</v>
      </c>
      <c r="Q124" s="14"/>
      <c r="R124" s="14"/>
      <c r="S124" s="15"/>
    </row>
    <row r="125" ht="24" spans="1:19">
      <c r="A125" s="24" t="s">
        <v>170</v>
      </c>
      <c r="B125" s="13" t="s">
        <v>63</v>
      </c>
      <c r="C125" s="13" t="s">
        <v>171</v>
      </c>
      <c r="D125" s="13" t="s">
        <v>454</v>
      </c>
      <c r="E125" s="13" t="s">
        <v>195</v>
      </c>
      <c r="F125" s="13">
        <v>3</v>
      </c>
      <c r="G125" s="13">
        <v>2025.4</v>
      </c>
      <c r="H125" s="13">
        <v>9</v>
      </c>
      <c r="I125" s="13">
        <v>3</v>
      </c>
      <c r="J125" s="24" t="s">
        <v>153</v>
      </c>
      <c r="K125" s="19" t="s">
        <v>457</v>
      </c>
      <c r="L125" s="19" t="s">
        <v>458</v>
      </c>
      <c r="M125" s="15" t="s">
        <v>44</v>
      </c>
      <c r="N125" s="15" t="s">
        <v>45</v>
      </c>
      <c r="O125" s="75" t="s">
        <v>439</v>
      </c>
      <c r="P125" s="75" t="s">
        <v>440</v>
      </c>
      <c r="Q125" s="14"/>
      <c r="R125" s="14"/>
      <c r="S125" s="15"/>
    </row>
    <row r="126" ht="24" spans="1:19">
      <c r="A126" s="24" t="s">
        <v>170</v>
      </c>
      <c r="B126" s="13" t="s">
        <v>63</v>
      </c>
      <c r="C126" s="13" t="s">
        <v>171</v>
      </c>
      <c r="D126" s="13" t="s">
        <v>454</v>
      </c>
      <c r="E126" s="13" t="s">
        <v>195</v>
      </c>
      <c r="F126" s="13">
        <v>3</v>
      </c>
      <c r="G126" s="13">
        <v>2025.4</v>
      </c>
      <c r="H126" s="13">
        <v>9</v>
      </c>
      <c r="I126" s="13">
        <v>3</v>
      </c>
      <c r="J126" s="24" t="s">
        <v>153</v>
      </c>
      <c r="K126" s="19" t="s">
        <v>459</v>
      </c>
      <c r="L126" s="19" t="s">
        <v>460</v>
      </c>
      <c r="M126" s="15" t="s">
        <v>44</v>
      </c>
      <c r="N126" s="15" t="s">
        <v>45</v>
      </c>
      <c r="O126" s="75" t="s">
        <v>439</v>
      </c>
      <c r="P126" s="75" t="s">
        <v>440</v>
      </c>
      <c r="Q126" s="14"/>
      <c r="R126" s="14"/>
      <c r="S126" s="15"/>
    </row>
    <row r="127" ht="24" spans="1:19">
      <c r="A127" s="24" t="s">
        <v>170</v>
      </c>
      <c r="B127" s="13"/>
      <c r="C127" s="13" t="s">
        <v>171</v>
      </c>
      <c r="D127" s="13"/>
      <c r="E127" s="13"/>
      <c r="F127" s="13"/>
      <c r="G127" s="13"/>
      <c r="H127" s="13"/>
      <c r="I127" s="13"/>
      <c r="J127" s="24" t="s">
        <v>153</v>
      </c>
      <c r="K127" s="19" t="s">
        <v>461</v>
      </c>
      <c r="L127" s="19" t="s">
        <v>462</v>
      </c>
      <c r="M127" s="15" t="s">
        <v>44</v>
      </c>
      <c r="N127" s="15" t="s">
        <v>45</v>
      </c>
      <c r="O127" s="75" t="s">
        <v>439</v>
      </c>
      <c r="P127" s="75" t="s">
        <v>440</v>
      </c>
      <c r="Q127" s="14"/>
      <c r="R127" s="14"/>
      <c r="S127" s="15"/>
    </row>
    <row r="128" ht="24" spans="1:19">
      <c r="A128" s="24" t="s">
        <v>217</v>
      </c>
      <c r="B128" s="24" t="s">
        <v>21</v>
      </c>
      <c r="C128" s="24" t="s">
        <v>218</v>
      </c>
      <c r="D128" s="24" t="s">
        <v>219</v>
      </c>
      <c r="E128" s="24" t="s">
        <v>220</v>
      </c>
      <c r="F128" s="24">
        <v>8</v>
      </c>
      <c r="G128" s="24">
        <v>2024.7</v>
      </c>
      <c r="H128" s="24">
        <v>31</v>
      </c>
      <c r="I128" s="24">
        <v>8</v>
      </c>
      <c r="J128" s="24" t="s">
        <v>25</v>
      </c>
      <c r="K128" s="19" t="s">
        <v>463</v>
      </c>
      <c r="L128" s="19" t="s">
        <v>464</v>
      </c>
      <c r="M128" s="15" t="s">
        <v>44</v>
      </c>
      <c r="N128" s="15" t="s">
        <v>45</v>
      </c>
      <c r="O128" s="75" t="s">
        <v>439</v>
      </c>
      <c r="P128" s="75" t="s">
        <v>440</v>
      </c>
      <c r="Q128" s="14"/>
      <c r="R128" s="14"/>
      <c r="S128" s="15"/>
    </row>
    <row r="129" ht="24" spans="1:19">
      <c r="A129" s="24" t="s">
        <v>217</v>
      </c>
      <c r="B129" s="24" t="s">
        <v>21</v>
      </c>
      <c r="C129" s="24" t="s">
        <v>218</v>
      </c>
      <c r="D129" s="24" t="s">
        <v>219</v>
      </c>
      <c r="E129" s="24" t="s">
        <v>220</v>
      </c>
      <c r="F129" s="24">
        <v>8</v>
      </c>
      <c r="G129" s="24">
        <v>2024.7</v>
      </c>
      <c r="H129" s="24">
        <v>31</v>
      </c>
      <c r="I129" s="24">
        <v>8</v>
      </c>
      <c r="J129" s="24" t="s">
        <v>25</v>
      </c>
      <c r="K129" s="19" t="s">
        <v>465</v>
      </c>
      <c r="L129" s="19" t="s">
        <v>466</v>
      </c>
      <c r="M129" s="14" t="s">
        <v>44</v>
      </c>
      <c r="N129" s="14" t="s">
        <v>45</v>
      </c>
      <c r="O129" s="75" t="s">
        <v>439</v>
      </c>
      <c r="P129" s="75" t="s">
        <v>440</v>
      </c>
      <c r="Q129" s="14"/>
      <c r="R129" s="14"/>
      <c r="S129" s="15"/>
    </row>
    <row r="130" ht="24" spans="1:19">
      <c r="A130" s="24" t="s">
        <v>217</v>
      </c>
      <c r="B130" s="24" t="s">
        <v>21</v>
      </c>
      <c r="C130" s="24" t="s">
        <v>218</v>
      </c>
      <c r="D130" s="24" t="s">
        <v>219</v>
      </c>
      <c r="E130" s="24" t="s">
        <v>220</v>
      </c>
      <c r="F130" s="24">
        <v>8</v>
      </c>
      <c r="G130" s="24">
        <v>2024.7</v>
      </c>
      <c r="H130" s="24">
        <v>31</v>
      </c>
      <c r="I130" s="24">
        <v>8</v>
      </c>
      <c r="J130" s="24" t="s">
        <v>25</v>
      </c>
      <c r="K130" s="19" t="s">
        <v>467</v>
      </c>
      <c r="L130" s="19" t="s">
        <v>466</v>
      </c>
      <c r="M130" s="14" t="s">
        <v>44</v>
      </c>
      <c r="N130" s="14" t="s">
        <v>45</v>
      </c>
      <c r="O130" s="75" t="s">
        <v>439</v>
      </c>
      <c r="P130" s="75" t="s">
        <v>440</v>
      </c>
      <c r="Q130" s="14"/>
      <c r="R130" s="14"/>
      <c r="S130" s="15"/>
    </row>
    <row r="131" ht="24" spans="1:19">
      <c r="A131" s="24" t="s">
        <v>223</v>
      </c>
      <c r="B131" s="24" t="s">
        <v>21</v>
      </c>
      <c r="C131" s="24" t="s">
        <v>234</v>
      </c>
      <c r="D131" s="24" t="s">
        <v>468</v>
      </c>
      <c r="E131" s="24" t="s">
        <v>469</v>
      </c>
      <c r="F131" s="24">
        <v>1</v>
      </c>
      <c r="G131" s="24">
        <v>2025.4</v>
      </c>
      <c r="H131" s="24">
        <v>30</v>
      </c>
      <c r="I131" s="24">
        <v>1</v>
      </c>
      <c r="J131" s="13" t="s">
        <v>153</v>
      </c>
      <c r="K131" s="19" t="s">
        <v>470</v>
      </c>
      <c r="L131" s="19" t="s">
        <v>471</v>
      </c>
      <c r="M131" s="14" t="s">
        <v>44</v>
      </c>
      <c r="N131" s="14" t="s">
        <v>45</v>
      </c>
      <c r="O131" s="13" t="s">
        <v>439</v>
      </c>
      <c r="P131" s="13" t="s">
        <v>440</v>
      </c>
      <c r="Q131" s="14"/>
      <c r="R131" s="14"/>
      <c r="S131" s="15"/>
    </row>
    <row r="132" ht="24" spans="1:19">
      <c r="A132" s="24" t="s">
        <v>223</v>
      </c>
      <c r="B132" s="24" t="s">
        <v>21</v>
      </c>
      <c r="C132" s="24" t="s">
        <v>234</v>
      </c>
      <c r="D132" s="24" t="s">
        <v>468</v>
      </c>
      <c r="E132" s="24" t="s">
        <v>469</v>
      </c>
      <c r="F132" s="24">
        <v>1</v>
      </c>
      <c r="G132" s="24">
        <v>2025.4</v>
      </c>
      <c r="H132" s="24">
        <v>30</v>
      </c>
      <c r="I132" s="24">
        <v>1</v>
      </c>
      <c r="J132" s="13" t="s">
        <v>153</v>
      </c>
      <c r="K132" s="19" t="s">
        <v>470</v>
      </c>
      <c r="L132" s="19" t="s">
        <v>472</v>
      </c>
      <c r="M132" s="14" t="s">
        <v>44</v>
      </c>
      <c r="N132" s="14" t="s">
        <v>45</v>
      </c>
      <c r="O132" s="13" t="s">
        <v>439</v>
      </c>
      <c r="P132" s="13" t="s">
        <v>440</v>
      </c>
      <c r="Q132" s="14"/>
      <c r="R132" s="14"/>
      <c r="S132" s="15"/>
    </row>
    <row r="133" ht="24" spans="1:19">
      <c r="A133" s="24" t="s">
        <v>223</v>
      </c>
      <c r="B133" s="24" t="s">
        <v>21</v>
      </c>
      <c r="C133" s="24" t="s">
        <v>473</v>
      </c>
      <c r="D133" s="24" t="s">
        <v>474</v>
      </c>
      <c r="E133" s="24" t="s">
        <v>475</v>
      </c>
      <c r="F133" s="24">
        <v>3</v>
      </c>
      <c r="G133" s="24">
        <v>2025.4</v>
      </c>
      <c r="H133" s="24">
        <v>27</v>
      </c>
      <c r="I133" s="24">
        <v>3</v>
      </c>
      <c r="J133" s="13" t="s">
        <v>153</v>
      </c>
      <c r="K133" s="19" t="s">
        <v>470</v>
      </c>
      <c r="L133" s="19" t="s">
        <v>471</v>
      </c>
      <c r="M133" s="14" t="s">
        <v>44</v>
      </c>
      <c r="N133" s="14" t="s">
        <v>45</v>
      </c>
      <c r="O133" s="13" t="s">
        <v>439</v>
      </c>
      <c r="P133" s="13" t="s">
        <v>440</v>
      </c>
      <c r="Q133" s="14"/>
      <c r="R133" s="14"/>
      <c r="S133" s="15"/>
    </row>
    <row r="134" ht="24" spans="1:19">
      <c r="A134" s="24" t="s">
        <v>223</v>
      </c>
      <c r="B134" s="24" t="s">
        <v>21</v>
      </c>
      <c r="C134" s="24" t="s">
        <v>473</v>
      </c>
      <c r="D134" s="24" t="s">
        <v>474</v>
      </c>
      <c r="E134" s="24" t="s">
        <v>475</v>
      </c>
      <c r="F134" s="24">
        <v>3</v>
      </c>
      <c r="G134" s="24">
        <v>2025.4</v>
      </c>
      <c r="H134" s="24">
        <v>27</v>
      </c>
      <c r="I134" s="24">
        <v>3</v>
      </c>
      <c r="J134" s="13" t="s">
        <v>153</v>
      </c>
      <c r="K134" s="19" t="s">
        <v>470</v>
      </c>
      <c r="L134" s="19" t="s">
        <v>472</v>
      </c>
      <c r="M134" s="14" t="s">
        <v>44</v>
      </c>
      <c r="N134" s="14" t="s">
        <v>45</v>
      </c>
      <c r="O134" s="13" t="s">
        <v>439</v>
      </c>
      <c r="P134" s="13" t="s">
        <v>440</v>
      </c>
      <c r="Q134" s="14"/>
      <c r="R134" s="14"/>
      <c r="S134" s="15"/>
    </row>
    <row r="135" ht="24" spans="1:19">
      <c r="A135" s="24" t="s">
        <v>476</v>
      </c>
      <c r="B135" s="13" t="s">
        <v>21</v>
      </c>
      <c r="C135" s="13" t="s">
        <v>367</v>
      </c>
      <c r="D135" s="13" t="s">
        <v>368</v>
      </c>
      <c r="E135" s="13" t="s">
        <v>369</v>
      </c>
      <c r="F135" s="13">
        <v>11</v>
      </c>
      <c r="G135" s="159">
        <v>2025.2</v>
      </c>
      <c r="H135" s="13">
        <v>22</v>
      </c>
      <c r="I135" s="13">
        <v>11</v>
      </c>
      <c r="J135" s="13" t="s">
        <v>278</v>
      </c>
      <c r="K135" s="19" t="s">
        <v>477</v>
      </c>
      <c r="L135" s="24" t="s">
        <v>478</v>
      </c>
      <c r="M135" s="15" t="s">
        <v>44</v>
      </c>
      <c r="N135" s="15" t="s">
        <v>45</v>
      </c>
      <c r="O135" s="24" t="s">
        <v>479</v>
      </c>
      <c r="P135" s="24" t="s">
        <v>440</v>
      </c>
      <c r="Q135" s="14"/>
      <c r="R135" s="14"/>
      <c r="S135" s="15"/>
    </row>
    <row r="136" ht="24" spans="1:19">
      <c r="A136" s="24" t="s">
        <v>476</v>
      </c>
      <c r="B136" s="13" t="s">
        <v>63</v>
      </c>
      <c r="C136" s="13" t="s">
        <v>480</v>
      </c>
      <c r="D136" s="13" t="s">
        <v>481</v>
      </c>
      <c r="E136" s="13" t="s">
        <v>482</v>
      </c>
      <c r="F136" s="13">
        <v>2</v>
      </c>
      <c r="G136" s="13" t="s">
        <v>483</v>
      </c>
      <c r="H136" s="13">
        <v>27</v>
      </c>
      <c r="I136" s="13">
        <v>2</v>
      </c>
      <c r="J136" s="13" t="s">
        <v>484</v>
      </c>
      <c r="K136" s="19" t="s">
        <v>477</v>
      </c>
      <c r="L136" s="24" t="s">
        <v>478</v>
      </c>
      <c r="M136" s="15" t="s">
        <v>44</v>
      </c>
      <c r="N136" s="15" t="s">
        <v>45</v>
      </c>
      <c r="O136" s="24" t="s">
        <v>479</v>
      </c>
      <c r="P136" s="24" t="s">
        <v>440</v>
      </c>
      <c r="Q136" s="14"/>
      <c r="R136" s="14"/>
      <c r="S136" s="15"/>
    </row>
    <row r="137" spans="1:19">
      <c r="A137" s="24" t="s">
        <v>476</v>
      </c>
      <c r="B137" s="13" t="s">
        <v>63</v>
      </c>
      <c r="C137" s="13" t="s">
        <v>480</v>
      </c>
      <c r="D137" s="13" t="s">
        <v>481</v>
      </c>
      <c r="E137" s="13" t="s">
        <v>482</v>
      </c>
      <c r="F137" s="13">
        <v>2</v>
      </c>
      <c r="G137" s="13" t="s">
        <v>483</v>
      </c>
      <c r="H137" s="13">
        <v>27</v>
      </c>
      <c r="I137" s="13">
        <v>2</v>
      </c>
      <c r="J137" s="13" t="s">
        <v>484</v>
      </c>
      <c r="K137" s="19" t="s">
        <v>485</v>
      </c>
      <c r="L137" s="24"/>
      <c r="M137" s="15" t="s">
        <v>44</v>
      </c>
      <c r="N137" s="15" t="s">
        <v>45</v>
      </c>
      <c r="O137" s="24" t="s">
        <v>479</v>
      </c>
      <c r="P137" s="24" t="s">
        <v>440</v>
      </c>
      <c r="Q137" s="14"/>
      <c r="R137" s="14"/>
      <c r="S137" s="15"/>
    </row>
    <row r="138" ht="36" spans="1:19">
      <c r="A138" s="24" t="s">
        <v>62</v>
      </c>
      <c r="B138" s="24" t="s">
        <v>63</v>
      </c>
      <c r="C138" s="24" t="s">
        <v>64</v>
      </c>
      <c r="D138" s="15" t="s">
        <v>486</v>
      </c>
      <c r="E138" s="15" t="s">
        <v>487</v>
      </c>
      <c r="F138" s="14">
        <v>32</v>
      </c>
      <c r="G138" s="14">
        <v>2025.6</v>
      </c>
      <c r="H138" s="15">
        <v>6</v>
      </c>
      <c r="I138" s="14">
        <v>32</v>
      </c>
      <c r="J138" s="24" t="s">
        <v>488</v>
      </c>
      <c r="K138" s="19" t="s">
        <v>489</v>
      </c>
      <c r="L138" s="19" t="s">
        <v>490</v>
      </c>
      <c r="M138" s="15" t="s">
        <v>44</v>
      </c>
      <c r="N138" s="15" t="s">
        <v>45</v>
      </c>
      <c r="O138" s="30" t="s">
        <v>491</v>
      </c>
      <c r="P138" s="30" t="s">
        <v>491</v>
      </c>
      <c r="Q138" s="30"/>
      <c r="R138" s="30"/>
      <c r="S138" s="30"/>
    </row>
    <row r="139" ht="24" spans="1:19">
      <c r="A139" s="13" t="s">
        <v>149</v>
      </c>
      <c r="B139" s="13" t="s">
        <v>21</v>
      </c>
      <c r="C139" s="13" t="s">
        <v>492</v>
      </c>
      <c r="D139" s="13" t="s">
        <v>493</v>
      </c>
      <c r="E139" s="13" t="s">
        <v>494</v>
      </c>
      <c r="F139" s="13">
        <v>20</v>
      </c>
      <c r="G139" s="13">
        <v>2024.11</v>
      </c>
      <c r="H139" s="13">
        <v>22</v>
      </c>
      <c r="I139" s="13">
        <v>20</v>
      </c>
      <c r="J139" s="24" t="s">
        <v>153</v>
      </c>
      <c r="K139" s="19" t="s">
        <v>495</v>
      </c>
      <c r="L139" s="19" t="s">
        <v>496</v>
      </c>
      <c r="M139" s="14" t="s">
        <v>497</v>
      </c>
      <c r="N139" s="79" t="s">
        <v>45</v>
      </c>
      <c r="O139" s="75" t="s">
        <v>498</v>
      </c>
      <c r="P139" s="75" t="s">
        <v>499</v>
      </c>
      <c r="Q139" s="30"/>
      <c r="R139" s="30"/>
      <c r="S139" s="30"/>
    </row>
    <row r="140" spans="1:19">
      <c r="A140" s="13" t="s">
        <v>500</v>
      </c>
      <c r="B140" s="13" t="s">
        <v>21</v>
      </c>
      <c r="C140" s="13" t="s">
        <v>501</v>
      </c>
      <c r="D140" s="13" t="s">
        <v>502</v>
      </c>
      <c r="E140" s="13" t="s">
        <v>503</v>
      </c>
      <c r="F140" s="13">
        <v>329</v>
      </c>
      <c r="G140" s="13">
        <v>2025.3</v>
      </c>
      <c r="H140" s="13">
        <v>17</v>
      </c>
      <c r="I140" s="13">
        <v>329</v>
      </c>
      <c r="J140" s="13" t="s">
        <v>25</v>
      </c>
      <c r="K140" s="29" t="s">
        <v>504</v>
      </c>
      <c r="L140" s="29" t="s">
        <v>505</v>
      </c>
      <c r="M140" s="14" t="s">
        <v>44</v>
      </c>
      <c r="N140" s="30" t="s">
        <v>45</v>
      </c>
      <c r="O140" s="75" t="s">
        <v>506</v>
      </c>
      <c r="P140" s="75" t="s">
        <v>507</v>
      </c>
      <c r="Q140" s="30"/>
      <c r="R140" s="30"/>
      <c r="S140" s="30"/>
    </row>
    <row r="141" spans="1:19">
      <c r="A141" s="24" t="s">
        <v>254</v>
      </c>
      <c r="B141" s="24" t="s">
        <v>21</v>
      </c>
      <c r="C141" s="24" t="s">
        <v>281</v>
      </c>
      <c r="D141" s="24" t="s">
        <v>282</v>
      </c>
      <c r="E141" s="24" t="s">
        <v>283</v>
      </c>
      <c r="F141" s="24">
        <v>7</v>
      </c>
      <c r="G141" s="24">
        <v>2025.4</v>
      </c>
      <c r="H141" s="24">
        <v>22</v>
      </c>
      <c r="I141" s="24">
        <v>7</v>
      </c>
      <c r="J141" s="24" t="s">
        <v>25</v>
      </c>
      <c r="K141" s="19" t="s">
        <v>508</v>
      </c>
      <c r="L141" s="19" t="s">
        <v>509</v>
      </c>
      <c r="M141" s="15" t="s">
        <v>44</v>
      </c>
      <c r="N141" s="79" t="s">
        <v>45</v>
      </c>
      <c r="O141" s="13" t="s">
        <v>506</v>
      </c>
      <c r="P141" s="13" t="s">
        <v>510</v>
      </c>
      <c r="Q141" s="14"/>
      <c r="R141" s="14"/>
      <c r="S141" s="15"/>
    </row>
    <row r="142" spans="1:19">
      <c r="A142" s="24" t="s">
        <v>254</v>
      </c>
      <c r="B142" s="24" t="s">
        <v>21</v>
      </c>
      <c r="C142" s="24" t="s">
        <v>281</v>
      </c>
      <c r="D142" s="24" t="s">
        <v>282</v>
      </c>
      <c r="E142" s="24" t="s">
        <v>283</v>
      </c>
      <c r="F142" s="24">
        <v>7</v>
      </c>
      <c r="G142" s="24">
        <v>2025.4</v>
      </c>
      <c r="H142" s="24">
        <v>22</v>
      </c>
      <c r="I142" s="24">
        <v>7</v>
      </c>
      <c r="J142" s="24" t="s">
        <v>25</v>
      </c>
      <c r="K142" s="19" t="s">
        <v>511</v>
      </c>
      <c r="L142" s="19" t="s">
        <v>512</v>
      </c>
      <c r="M142" s="15" t="s">
        <v>44</v>
      </c>
      <c r="N142" s="79" t="s">
        <v>45</v>
      </c>
      <c r="O142" s="13" t="s">
        <v>506</v>
      </c>
      <c r="P142" s="13" t="s">
        <v>510</v>
      </c>
      <c r="Q142" s="14"/>
      <c r="R142" s="14"/>
      <c r="S142" s="15"/>
    </row>
    <row r="143" ht="24" spans="1:19">
      <c r="A143" s="24" t="s">
        <v>254</v>
      </c>
      <c r="B143" s="24" t="s">
        <v>21</v>
      </c>
      <c r="C143" s="24" t="s">
        <v>513</v>
      </c>
      <c r="D143" s="24" t="s">
        <v>514</v>
      </c>
      <c r="E143" s="24" t="s">
        <v>515</v>
      </c>
      <c r="F143" s="14">
        <v>3</v>
      </c>
      <c r="G143" s="14">
        <v>2024.3</v>
      </c>
      <c r="H143" s="14">
        <v>4</v>
      </c>
      <c r="I143" s="14">
        <v>3</v>
      </c>
      <c r="J143" s="14"/>
      <c r="K143" s="15" t="s">
        <v>516</v>
      </c>
      <c r="L143" s="15" t="s">
        <v>517</v>
      </c>
      <c r="M143" s="15" t="s">
        <v>44</v>
      </c>
      <c r="N143" s="15" t="s">
        <v>45</v>
      </c>
      <c r="O143" s="13" t="s">
        <v>518</v>
      </c>
      <c r="P143" s="13" t="s">
        <v>519</v>
      </c>
      <c r="Q143" s="14"/>
      <c r="R143" s="14"/>
      <c r="S143" s="15"/>
    </row>
    <row r="144" spans="1:19">
      <c r="A144" s="13" t="s">
        <v>335</v>
      </c>
      <c r="B144" s="14" t="s">
        <v>21</v>
      </c>
      <c r="C144" s="14" t="s">
        <v>281</v>
      </c>
      <c r="D144" s="15" t="s">
        <v>282</v>
      </c>
      <c r="E144" s="15" t="s">
        <v>283</v>
      </c>
      <c r="F144" s="14">
        <v>7</v>
      </c>
      <c r="G144" s="14">
        <v>2025.4</v>
      </c>
      <c r="H144" s="14">
        <v>22</v>
      </c>
      <c r="I144" s="14">
        <v>7</v>
      </c>
      <c r="J144" s="13" t="s">
        <v>25</v>
      </c>
      <c r="K144" s="19" t="s">
        <v>511</v>
      </c>
      <c r="L144" s="19" t="s">
        <v>512</v>
      </c>
      <c r="M144" s="15" t="s">
        <v>44</v>
      </c>
      <c r="N144" s="79" t="s">
        <v>45</v>
      </c>
      <c r="O144" s="14" t="s">
        <v>520</v>
      </c>
      <c r="P144" s="14" t="s">
        <v>521</v>
      </c>
      <c r="Q144" s="14"/>
      <c r="R144" s="14"/>
      <c r="S144" s="15"/>
    </row>
    <row r="145" spans="1:19">
      <c r="A145" s="13" t="s">
        <v>335</v>
      </c>
      <c r="B145" s="24" t="s">
        <v>21</v>
      </c>
      <c r="C145" s="24" t="s">
        <v>522</v>
      </c>
      <c r="D145" s="24" t="s">
        <v>523</v>
      </c>
      <c r="E145" s="24" t="s">
        <v>524</v>
      </c>
      <c r="F145" s="24">
        <v>1</v>
      </c>
      <c r="G145" s="24">
        <v>2025.6</v>
      </c>
      <c r="H145" s="24">
        <v>13</v>
      </c>
      <c r="I145" s="24">
        <v>1</v>
      </c>
      <c r="J145" s="13" t="s">
        <v>153</v>
      </c>
      <c r="K145" s="19" t="s">
        <v>525</v>
      </c>
      <c r="L145" s="19" t="s">
        <v>526</v>
      </c>
      <c r="M145" s="15" t="s">
        <v>44</v>
      </c>
      <c r="N145" s="79" t="s">
        <v>45</v>
      </c>
      <c r="O145" s="13" t="s">
        <v>527</v>
      </c>
      <c r="P145" s="13" t="s">
        <v>507</v>
      </c>
      <c r="Q145" s="14"/>
      <c r="R145" s="14"/>
      <c r="S145" s="15"/>
    </row>
  </sheetData>
  <autoFilter xmlns:etc="http://www.wps.cn/officeDocument/2017/etCustomData" ref="A2:S145" etc:filterBottomFollowUsedRange="0">
    <filterColumn colId="12">
      <filters>
        <filter val="机械设计 外发"/>
        <filter val="供应商"/>
        <filter val="采购"/>
        <filter val="机械外发，采购"/>
        <filter val="机械设计、采购"/>
      </filters>
    </filterColumn>
    <extLst/>
  </autoFilter>
  <mergeCells count="25">
    <mergeCell ref="A1:S1"/>
    <mergeCell ref="B62:B63"/>
    <mergeCell ref="B96:B97"/>
    <mergeCell ref="C62:C63"/>
    <mergeCell ref="C96:C97"/>
    <mergeCell ref="D16:D17"/>
    <mergeCell ref="D62:D63"/>
    <mergeCell ref="D96:D97"/>
    <mergeCell ref="E16:E17"/>
    <mergeCell ref="E62:E63"/>
    <mergeCell ref="E96:E97"/>
    <mergeCell ref="F16:F17"/>
    <mergeCell ref="F62:F63"/>
    <mergeCell ref="F96:F97"/>
    <mergeCell ref="G16:G17"/>
    <mergeCell ref="G62:G63"/>
    <mergeCell ref="G96:G97"/>
    <mergeCell ref="H16:H17"/>
    <mergeCell ref="H62:H63"/>
    <mergeCell ref="H96:H97"/>
    <mergeCell ref="I16:I17"/>
    <mergeCell ref="I62:I63"/>
    <mergeCell ref="I96:I97"/>
    <mergeCell ref="O96:O97"/>
    <mergeCell ref="P96:P97"/>
  </mergeCells>
  <conditionalFormatting sqref="K3:K15">
    <cfRule type="expression" dxfId="1" priority="8">
      <formula>$K3="已完成"</formula>
    </cfRule>
    <cfRule type="expression" dxfId="0" priority="7">
      <formula>OR($K3="延期",AND(#REF!="严重",$K3=""))</formula>
    </cfRule>
  </conditionalFormatting>
  <conditionalFormatting sqref="L3:L15">
    <cfRule type="expression" dxfId="1" priority="6">
      <formula>$K3="已完成"</formula>
    </cfRule>
    <cfRule type="expression" dxfId="0" priority="5">
      <formula>OR($K3="延期",AND(#REF!="严重",$K3=""))</formula>
    </cfRule>
  </conditionalFormatting>
  <conditionalFormatting sqref="K138 K139 K140">
    <cfRule type="expression" dxfId="1" priority="4">
      <formula>$K138="已完成"</formula>
    </cfRule>
    <cfRule type="expression" dxfId="0" priority="3">
      <formula>OR($K138="延期",AND(#REF!="严重",$K138=""))</formula>
    </cfRule>
  </conditionalFormatting>
  <conditionalFormatting sqref="L138 L139 L140">
    <cfRule type="expression" dxfId="1" priority="2">
      <formula>$K138="已完成"</formula>
    </cfRule>
    <cfRule type="expression" dxfId="0" priority="1">
      <formula>OR($K138="延期",AND(#REF!="严重",$K138=""))</formula>
    </cfRule>
  </conditionalFormatting>
  <dataValidations count="1">
    <dataValidation allowBlank="1" showInputMessage="1" showErrorMessage="1" sqref="K140:L140 K3:L15"/>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S146"/>
  <sheetViews>
    <sheetView workbookViewId="0">
      <pane xSplit="1" ySplit="2" topLeftCell="B126" activePane="bottomRight" state="frozen"/>
      <selection/>
      <selection pane="topRight"/>
      <selection pane="bottomLeft"/>
      <selection pane="bottomRight" activeCell="E128" sqref="E128"/>
    </sheetView>
  </sheetViews>
  <sheetFormatPr defaultColWidth="11" defaultRowHeight="13.5"/>
  <cols>
    <col min="1" max="2" width="11" style="2"/>
    <col min="3" max="3" width="11" style="4"/>
    <col min="4" max="4" width="21.2166666666667" style="4" customWidth="1"/>
    <col min="5" max="5" width="14.1666666666667" style="2" customWidth="1"/>
    <col min="6" max="6" width="11" style="2"/>
    <col min="7" max="7" width="12.3583333333333" style="5" customWidth="1"/>
    <col min="8" max="8" width="11.2083333333333" style="2"/>
    <col min="9" max="10" width="11" style="2"/>
    <col min="11" max="11" width="31.6416666666667" style="4" customWidth="1"/>
    <col min="12" max="12" width="40.6416666666667" style="4" customWidth="1"/>
    <col min="13" max="14" width="9.1" style="4"/>
    <col min="15" max="15" width="15" style="2" customWidth="1"/>
    <col min="16" max="16" width="10.6416666666667" style="2" customWidth="1"/>
    <col min="17" max="18" width="9.1" style="2"/>
    <col min="19" max="19" width="17.425" style="4" customWidth="1"/>
    <col min="20" max="16384" width="11" style="2"/>
  </cols>
  <sheetData>
    <row r="1" s="1" customFormat="1" ht="31.5" spans="1:19">
      <c r="A1" s="6" t="s">
        <v>404</v>
      </c>
      <c r="B1" s="7"/>
      <c r="C1" s="8"/>
      <c r="D1" s="8"/>
      <c r="E1" s="7"/>
      <c r="F1" s="7"/>
      <c r="G1" s="9"/>
      <c r="H1" s="7"/>
      <c r="I1" s="7"/>
      <c r="J1" s="7"/>
      <c r="K1" s="7"/>
      <c r="L1" s="7"/>
      <c r="M1" s="7"/>
      <c r="N1" s="7"/>
      <c r="O1" s="7"/>
      <c r="P1" s="7"/>
      <c r="Q1" s="7"/>
      <c r="R1" s="7"/>
      <c r="S1" s="20"/>
    </row>
    <row r="2" s="1" customFormat="1" ht="42.75" spans="1:19">
      <c r="A2" s="10" t="s">
        <v>1</v>
      </c>
      <c r="B2" s="11" t="s">
        <v>2</v>
      </c>
      <c r="C2" s="11" t="s">
        <v>3</v>
      </c>
      <c r="D2" s="12" t="s">
        <v>4</v>
      </c>
      <c r="E2" s="10" t="s">
        <v>5</v>
      </c>
      <c r="F2" s="11" t="s">
        <v>6</v>
      </c>
      <c r="G2" s="12" t="s">
        <v>7</v>
      </c>
      <c r="H2" s="11" t="s">
        <v>8</v>
      </c>
      <c r="I2" s="11" t="s">
        <v>9</v>
      </c>
      <c r="J2" s="11" t="s">
        <v>10</v>
      </c>
      <c r="K2" s="18" t="s">
        <v>11</v>
      </c>
      <c r="L2" s="18" t="s">
        <v>12</v>
      </c>
      <c r="M2" s="18" t="s">
        <v>13</v>
      </c>
      <c r="N2" s="18" t="s">
        <v>14</v>
      </c>
      <c r="O2" s="18" t="s">
        <v>15</v>
      </c>
      <c r="P2" s="18" t="s">
        <v>16</v>
      </c>
      <c r="Q2" s="18" t="s">
        <v>17</v>
      </c>
      <c r="R2" s="18" t="s">
        <v>18</v>
      </c>
      <c r="S2" s="18" t="s">
        <v>19</v>
      </c>
    </row>
    <row r="3" s="13" customFormat="1" ht="24" spans="1:19">
      <c r="A3" s="174" t="s">
        <v>20</v>
      </c>
      <c r="B3" s="174" t="s">
        <v>21</v>
      </c>
      <c r="C3" s="174" t="s">
        <v>22</v>
      </c>
      <c r="D3" s="174" t="s">
        <v>23</v>
      </c>
      <c r="E3" s="174" t="s">
        <v>24</v>
      </c>
      <c r="F3" s="174">
        <v>77</v>
      </c>
      <c r="G3" s="174">
        <v>2024.9</v>
      </c>
      <c r="H3" s="174">
        <v>22</v>
      </c>
      <c r="I3" s="174">
        <v>77</v>
      </c>
      <c r="J3" s="174" t="s">
        <v>25</v>
      </c>
      <c r="K3" s="29" t="s">
        <v>26</v>
      </c>
      <c r="L3" s="29" t="s">
        <v>27</v>
      </c>
      <c r="M3" s="179" t="s">
        <v>28</v>
      </c>
      <c r="N3" s="30" t="s">
        <v>29</v>
      </c>
      <c r="O3" s="42" t="s">
        <v>30</v>
      </c>
      <c r="P3" s="42" t="s">
        <v>31</v>
      </c>
      <c r="Q3" s="30"/>
      <c r="R3" s="30"/>
      <c r="S3" s="30"/>
    </row>
    <row r="4" s="13" customFormat="1" ht="24" spans="1:19">
      <c r="A4" s="174" t="s">
        <v>20</v>
      </c>
      <c r="B4" s="174" t="s">
        <v>21</v>
      </c>
      <c r="C4" s="174" t="s">
        <v>22</v>
      </c>
      <c r="D4" s="174" t="s">
        <v>23</v>
      </c>
      <c r="E4" s="174" t="s">
        <v>24</v>
      </c>
      <c r="F4" s="174">
        <v>77</v>
      </c>
      <c r="G4" s="174">
        <v>2024.9</v>
      </c>
      <c r="H4" s="174">
        <v>22</v>
      </c>
      <c r="I4" s="174">
        <v>77</v>
      </c>
      <c r="J4" s="174" t="s">
        <v>25</v>
      </c>
      <c r="K4" s="29" t="s">
        <v>32</v>
      </c>
      <c r="L4" s="29" t="s">
        <v>33</v>
      </c>
      <c r="M4" s="179" t="s">
        <v>28</v>
      </c>
      <c r="N4" s="30" t="s">
        <v>29</v>
      </c>
      <c r="O4" s="42" t="s">
        <v>30</v>
      </c>
      <c r="P4" s="42" t="s">
        <v>31</v>
      </c>
      <c r="Q4" s="30"/>
      <c r="R4" s="30"/>
      <c r="S4" s="30"/>
    </row>
    <row r="5" s="81" customFormat="1" ht="27" hidden="1" spans="1:19">
      <c r="A5" s="85" t="s">
        <v>20</v>
      </c>
      <c r="B5" s="85" t="s">
        <v>21</v>
      </c>
      <c r="C5" s="85" t="s">
        <v>22</v>
      </c>
      <c r="D5" s="85" t="s">
        <v>23</v>
      </c>
      <c r="E5" s="85" t="s">
        <v>24</v>
      </c>
      <c r="F5" s="85">
        <v>77</v>
      </c>
      <c r="G5" s="85">
        <v>2024.9</v>
      </c>
      <c r="H5" s="85">
        <v>22</v>
      </c>
      <c r="I5" s="85">
        <v>77</v>
      </c>
      <c r="J5" s="85" t="s">
        <v>25</v>
      </c>
      <c r="K5" s="29" t="s">
        <v>34</v>
      </c>
      <c r="L5" s="29" t="s">
        <v>35</v>
      </c>
      <c r="M5" s="45" t="s">
        <v>36</v>
      </c>
      <c r="N5" s="100" t="s">
        <v>37</v>
      </c>
      <c r="O5" s="101" t="s">
        <v>30</v>
      </c>
      <c r="P5" s="101" t="s">
        <v>31</v>
      </c>
      <c r="Q5" s="100"/>
      <c r="R5" s="100"/>
      <c r="S5" s="100"/>
    </row>
    <row r="6" s="81" customFormat="1" ht="27" hidden="1" spans="1:19">
      <c r="A6" s="85" t="s">
        <v>20</v>
      </c>
      <c r="B6" s="85" t="s">
        <v>21</v>
      </c>
      <c r="C6" s="85" t="s">
        <v>22</v>
      </c>
      <c r="D6" s="85" t="s">
        <v>23</v>
      </c>
      <c r="E6" s="85" t="s">
        <v>24</v>
      </c>
      <c r="F6" s="85">
        <v>77</v>
      </c>
      <c r="G6" s="85">
        <v>2024.9</v>
      </c>
      <c r="H6" s="85">
        <v>22</v>
      </c>
      <c r="I6" s="85">
        <v>77</v>
      </c>
      <c r="J6" s="85" t="s">
        <v>25</v>
      </c>
      <c r="K6" s="29" t="s">
        <v>38</v>
      </c>
      <c r="L6" s="29" t="s">
        <v>39</v>
      </c>
      <c r="M6" s="45" t="s">
        <v>36</v>
      </c>
      <c r="N6" s="100" t="s">
        <v>37</v>
      </c>
      <c r="O6" s="101" t="s">
        <v>30</v>
      </c>
      <c r="P6" s="101" t="s">
        <v>31</v>
      </c>
      <c r="Q6" s="100"/>
      <c r="R6" s="100"/>
      <c r="S6" s="100"/>
    </row>
    <row r="7" s="81" customFormat="1" ht="27" hidden="1" spans="1:19">
      <c r="A7" s="85" t="s">
        <v>20</v>
      </c>
      <c r="B7" s="85" t="s">
        <v>21</v>
      </c>
      <c r="C7" s="85" t="s">
        <v>22</v>
      </c>
      <c r="D7" s="85" t="s">
        <v>23</v>
      </c>
      <c r="E7" s="85" t="s">
        <v>24</v>
      </c>
      <c r="F7" s="85">
        <v>77</v>
      </c>
      <c r="G7" s="85">
        <v>2024.9</v>
      </c>
      <c r="H7" s="85">
        <v>22</v>
      </c>
      <c r="I7" s="85">
        <v>77</v>
      </c>
      <c r="J7" s="85" t="s">
        <v>25</v>
      </c>
      <c r="K7" s="29" t="s">
        <v>40</v>
      </c>
      <c r="L7" s="29" t="s">
        <v>41</v>
      </c>
      <c r="M7" s="45" t="s">
        <v>36</v>
      </c>
      <c r="N7" s="100" t="s">
        <v>37</v>
      </c>
      <c r="O7" s="101" t="s">
        <v>30</v>
      </c>
      <c r="P7" s="101" t="s">
        <v>31</v>
      </c>
      <c r="Q7" s="100"/>
      <c r="R7" s="100"/>
      <c r="S7" s="100"/>
    </row>
    <row r="8" s="81" customFormat="1" ht="36" hidden="1" spans="1:19">
      <c r="A8" s="85" t="s">
        <v>20</v>
      </c>
      <c r="B8" s="85" t="s">
        <v>21</v>
      </c>
      <c r="C8" s="85" t="s">
        <v>22</v>
      </c>
      <c r="D8" s="85" t="s">
        <v>23</v>
      </c>
      <c r="E8" s="85" t="s">
        <v>24</v>
      </c>
      <c r="F8" s="85">
        <v>77</v>
      </c>
      <c r="G8" s="85">
        <v>2024.9</v>
      </c>
      <c r="H8" s="85">
        <v>22</v>
      </c>
      <c r="I8" s="85">
        <v>77</v>
      </c>
      <c r="J8" s="85" t="s">
        <v>25</v>
      </c>
      <c r="K8" s="29" t="s">
        <v>42</v>
      </c>
      <c r="L8" s="29" t="s">
        <v>43</v>
      </c>
      <c r="M8" s="45" t="s">
        <v>44</v>
      </c>
      <c r="N8" s="100" t="s">
        <v>45</v>
      </c>
      <c r="O8" s="101" t="s">
        <v>30</v>
      </c>
      <c r="P8" s="101" t="s">
        <v>31</v>
      </c>
      <c r="Q8" s="100"/>
      <c r="R8" s="100"/>
      <c r="S8" s="100"/>
    </row>
    <row r="9" s="81" customFormat="1" ht="36" hidden="1" spans="1:19">
      <c r="A9" s="85" t="s">
        <v>20</v>
      </c>
      <c r="B9" s="85" t="s">
        <v>21</v>
      </c>
      <c r="C9" s="85" t="s">
        <v>22</v>
      </c>
      <c r="D9" s="85" t="s">
        <v>23</v>
      </c>
      <c r="E9" s="85" t="s">
        <v>24</v>
      </c>
      <c r="F9" s="85">
        <v>77</v>
      </c>
      <c r="G9" s="85">
        <v>2024.9</v>
      </c>
      <c r="H9" s="85">
        <v>22</v>
      </c>
      <c r="I9" s="85">
        <v>77</v>
      </c>
      <c r="J9" s="85" t="s">
        <v>25</v>
      </c>
      <c r="K9" s="29" t="s">
        <v>46</v>
      </c>
      <c r="L9" s="29" t="s">
        <v>47</v>
      </c>
      <c r="M9" s="45" t="s">
        <v>44</v>
      </c>
      <c r="N9" s="100" t="s">
        <v>45</v>
      </c>
      <c r="O9" s="101" t="s">
        <v>30</v>
      </c>
      <c r="P9" s="101" t="s">
        <v>31</v>
      </c>
      <c r="Q9" s="100"/>
      <c r="R9" s="100"/>
      <c r="S9" s="100"/>
    </row>
    <row r="10" s="81" customFormat="1" ht="27" hidden="1" spans="1:19">
      <c r="A10" s="85" t="s">
        <v>20</v>
      </c>
      <c r="B10" s="85" t="s">
        <v>21</v>
      </c>
      <c r="C10" s="85" t="s">
        <v>22</v>
      </c>
      <c r="D10" s="85" t="s">
        <v>23</v>
      </c>
      <c r="E10" s="85" t="s">
        <v>24</v>
      </c>
      <c r="F10" s="85">
        <v>77</v>
      </c>
      <c r="G10" s="85">
        <v>2024.9</v>
      </c>
      <c r="H10" s="85">
        <v>22</v>
      </c>
      <c r="I10" s="85">
        <v>77</v>
      </c>
      <c r="J10" s="85" t="s">
        <v>25</v>
      </c>
      <c r="K10" s="29" t="s">
        <v>48</v>
      </c>
      <c r="L10" s="29" t="s">
        <v>49</v>
      </c>
      <c r="M10" s="45" t="s">
        <v>44</v>
      </c>
      <c r="N10" s="100" t="s">
        <v>45</v>
      </c>
      <c r="O10" s="101" t="s">
        <v>30</v>
      </c>
      <c r="P10" s="101" t="s">
        <v>31</v>
      </c>
      <c r="Q10" s="100"/>
      <c r="R10" s="100"/>
      <c r="S10" s="100"/>
    </row>
    <row r="11" s="81" customFormat="1" ht="27" hidden="1" spans="1:19">
      <c r="A11" s="85" t="s">
        <v>20</v>
      </c>
      <c r="B11" s="85" t="s">
        <v>21</v>
      </c>
      <c r="C11" s="85" t="s">
        <v>22</v>
      </c>
      <c r="D11" s="85" t="s">
        <v>23</v>
      </c>
      <c r="E11" s="85" t="s">
        <v>24</v>
      </c>
      <c r="F11" s="85">
        <v>77</v>
      </c>
      <c r="G11" s="85">
        <v>2024.9</v>
      </c>
      <c r="H11" s="85">
        <v>22</v>
      </c>
      <c r="I11" s="85">
        <v>77</v>
      </c>
      <c r="J11" s="85" t="s">
        <v>25</v>
      </c>
      <c r="K11" s="29" t="s">
        <v>50</v>
      </c>
      <c r="L11" s="29" t="s">
        <v>51</v>
      </c>
      <c r="M11" s="45" t="s">
        <v>52</v>
      </c>
      <c r="N11" s="100" t="s">
        <v>53</v>
      </c>
      <c r="O11" s="101" t="s">
        <v>30</v>
      </c>
      <c r="P11" s="101" t="s">
        <v>31</v>
      </c>
      <c r="Q11" s="100"/>
      <c r="R11" s="100"/>
      <c r="S11" s="100"/>
    </row>
    <row r="12" s="81" customFormat="1" ht="27" hidden="1" spans="1:19">
      <c r="A12" s="85" t="s">
        <v>20</v>
      </c>
      <c r="B12" s="85" t="s">
        <v>21</v>
      </c>
      <c r="C12" s="85" t="s">
        <v>22</v>
      </c>
      <c r="D12" s="85" t="s">
        <v>23</v>
      </c>
      <c r="E12" s="85" t="s">
        <v>24</v>
      </c>
      <c r="F12" s="85">
        <v>77</v>
      </c>
      <c r="G12" s="85">
        <v>2024.9</v>
      </c>
      <c r="H12" s="85">
        <v>22</v>
      </c>
      <c r="I12" s="85">
        <v>77</v>
      </c>
      <c r="J12" s="85" t="s">
        <v>25</v>
      </c>
      <c r="K12" s="29" t="s">
        <v>54</v>
      </c>
      <c r="L12" s="29" t="s">
        <v>55</v>
      </c>
      <c r="M12" s="45" t="s">
        <v>44</v>
      </c>
      <c r="N12" s="100" t="s">
        <v>45</v>
      </c>
      <c r="O12" s="101" t="s">
        <v>30</v>
      </c>
      <c r="P12" s="101" t="s">
        <v>31</v>
      </c>
      <c r="Q12" s="100"/>
      <c r="R12" s="100"/>
      <c r="S12" s="100"/>
    </row>
    <row r="13" s="81" customFormat="1" ht="27" hidden="1" spans="1:19">
      <c r="A13" s="85" t="s">
        <v>20</v>
      </c>
      <c r="B13" s="85" t="s">
        <v>21</v>
      </c>
      <c r="C13" s="85" t="s">
        <v>22</v>
      </c>
      <c r="D13" s="85" t="s">
        <v>23</v>
      </c>
      <c r="E13" s="85" t="s">
        <v>24</v>
      </c>
      <c r="F13" s="85">
        <v>77</v>
      </c>
      <c r="G13" s="85">
        <v>2024.9</v>
      </c>
      <c r="H13" s="85">
        <v>22</v>
      </c>
      <c r="I13" s="85">
        <v>77</v>
      </c>
      <c r="J13" s="85" t="s">
        <v>25</v>
      </c>
      <c r="K13" s="29" t="s">
        <v>56</v>
      </c>
      <c r="L13" s="29" t="s">
        <v>57</v>
      </c>
      <c r="M13" s="45" t="s">
        <v>44</v>
      </c>
      <c r="N13" s="100" t="s">
        <v>45</v>
      </c>
      <c r="O13" s="101" t="s">
        <v>30</v>
      </c>
      <c r="P13" s="101" t="s">
        <v>31</v>
      </c>
      <c r="Q13" s="100"/>
      <c r="R13" s="100"/>
      <c r="S13" s="100"/>
    </row>
    <row r="14" s="81" customFormat="1" ht="27" hidden="1" spans="1:19">
      <c r="A14" s="85" t="s">
        <v>20</v>
      </c>
      <c r="B14" s="85" t="s">
        <v>21</v>
      </c>
      <c r="C14" s="85" t="s">
        <v>22</v>
      </c>
      <c r="D14" s="85" t="s">
        <v>23</v>
      </c>
      <c r="E14" s="85" t="s">
        <v>24</v>
      </c>
      <c r="F14" s="85">
        <v>77</v>
      </c>
      <c r="G14" s="85">
        <v>2024.9</v>
      </c>
      <c r="H14" s="85">
        <v>22</v>
      </c>
      <c r="I14" s="85">
        <v>77</v>
      </c>
      <c r="J14" s="85" t="s">
        <v>25</v>
      </c>
      <c r="K14" s="29" t="s">
        <v>58</v>
      </c>
      <c r="L14" s="29" t="s">
        <v>59</v>
      </c>
      <c r="M14" s="45" t="s">
        <v>44</v>
      </c>
      <c r="N14" s="100" t="s">
        <v>45</v>
      </c>
      <c r="O14" s="101" t="s">
        <v>30</v>
      </c>
      <c r="P14" s="101" t="s">
        <v>31</v>
      </c>
      <c r="Q14" s="100"/>
      <c r="R14" s="100"/>
      <c r="S14" s="100"/>
    </row>
    <row r="15" s="81" customFormat="1" ht="36" hidden="1" spans="1:19">
      <c r="A15" s="85" t="s">
        <v>20</v>
      </c>
      <c r="B15" s="85" t="s">
        <v>21</v>
      </c>
      <c r="C15" s="85" t="s">
        <v>22</v>
      </c>
      <c r="D15" s="85" t="s">
        <v>23</v>
      </c>
      <c r="E15" s="85" t="s">
        <v>24</v>
      </c>
      <c r="F15" s="85">
        <v>77</v>
      </c>
      <c r="G15" s="85">
        <v>2024.9</v>
      </c>
      <c r="H15" s="85">
        <v>22</v>
      </c>
      <c r="I15" s="85">
        <v>77</v>
      </c>
      <c r="J15" s="85" t="s">
        <v>25</v>
      </c>
      <c r="K15" s="29" t="s">
        <v>60</v>
      </c>
      <c r="L15" s="29" t="s">
        <v>61</v>
      </c>
      <c r="M15" s="45" t="s">
        <v>36</v>
      </c>
      <c r="N15" s="100" t="s">
        <v>37</v>
      </c>
      <c r="O15" s="101" t="s">
        <v>30</v>
      </c>
      <c r="P15" s="101" t="s">
        <v>31</v>
      </c>
      <c r="Q15" s="100"/>
      <c r="R15" s="100"/>
      <c r="S15" s="100"/>
    </row>
    <row r="16" s="2" customFormat="1" ht="27" hidden="1" spans="1:19">
      <c r="A16" s="32" t="s">
        <v>62</v>
      </c>
      <c r="B16" s="32" t="s">
        <v>63</v>
      </c>
      <c r="C16" s="32" t="s">
        <v>64</v>
      </c>
      <c r="D16" s="160" t="s">
        <v>65</v>
      </c>
      <c r="E16" s="160" t="s">
        <v>66</v>
      </c>
      <c r="F16" s="160">
        <v>1</v>
      </c>
      <c r="G16" s="160">
        <v>2024.6</v>
      </c>
      <c r="H16" s="160">
        <v>29</v>
      </c>
      <c r="I16" s="160">
        <v>1</v>
      </c>
      <c r="J16" s="33" t="s">
        <v>67</v>
      </c>
      <c r="K16" s="36" t="s">
        <v>68</v>
      </c>
      <c r="L16" s="37" t="s">
        <v>69</v>
      </c>
      <c r="M16" s="43" t="s">
        <v>70</v>
      </c>
      <c r="N16" s="100" t="s">
        <v>71</v>
      </c>
      <c r="O16" s="38" t="s">
        <v>72</v>
      </c>
      <c r="P16" s="38" t="s">
        <v>73</v>
      </c>
      <c r="Q16" s="128"/>
      <c r="R16" s="128"/>
      <c r="S16" s="106"/>
    </row>
    <row r="17" s="2" customFormat="1" ht="54" hidden="1" spans="1:19">
      <c r="A17" s="32" t="s">
        <v>62</v>
      </c>
      <c r="B17" s="32" t="s">
        <v>63</v>
      </c>
      <c r="C17" s="32" t="s">
        <v>64</v>
      </c>
      <c r="D17" s="87"/>
      <c r="E17" s="87"/>
      <c r="F17" s="87"/>
      <c r="G17" s="87"/>
      <c r="H17" s="87"/>
      <c r="I17" s="87"/>
      <c r="J17" s="33" t="s">
        <v>67</v>
      </c>
      <c r="K17" s="36" t="s">
        <v>74</v>
      </c>
      <c r="L17" s="37" t="s">
        <v>75</v>
      </c>
      <c r="M17" s="43" t="s">
        <v>70</v>
      </c>
      <c r="N17" s="100" t="s">
        <v>71</v>
      </c>
      <c r="O17" s="38" t="s">
        <v>72</v>
      </c>
      <c r="P17" s="38" t="s">
        <v>73</v>
      </c>
      <c r="Q17" s="128"/>
      <c r="R17" s="128"/>
      <c r="S17" s="106"/>
    </row>
    <row r="18" s="2" customFormat="1" ht="54" hidden="1" spans="1:19">
      <c r="A18" s="32" t="s">
        <v>62</v>
      </c>
      <c r="B18" s="32" t="s">
        <v>63</v>
      </c>
      <c r="C18" s="32" t="s">
        <v>64</v>
      </c>
      <c r="D18" s="88" t="s">
        <v>76</v>
      </c>
      <c r="E18" s="88" t="s">
        <v>77</v>
      </c>
      <c r="F18" s="88">
        <v>1</v>
      </c>
      <c r="G18" s="88">
        <v>2024.6</v>
      </c>
      <c r="H18" s="88">
        <v>29</v>
      </c>
      <c r="I18" s="88">
        <v>1</v>
      </c>
      <c r="J18" s="33" t="s">
        <v>67</v>
      </c>
      <c r="K18" s="36" t="s">
        <v>78</v>
      </c>
      <c r="L18" s="37" t="s">
        <v>79</v>
      </c>
      <c r="M18" s="45" t="s">
        <v>36</v>
      </c>
      <c r="N18" s="100" t="s">
        <v>37</v>
      </c>
      <c r="O18" s="38" t="s">
        <v>72</v>
      </c>
      <c r="P18" s="38" t="s">
        <v>73</v>
      </c>
      <c r="Q18" s="43"/>
      <c r="R18" s="43"/>
      <c r="S18" s="45"/>
    </row>
    <row r="19" s="2" customFormat="1" ht="27" hidden="1" spans="1:19">
      <c r="A19" s="32" t="s">
        <v>62</v>
      </c>
      <c r="B19" s="32" t="s">
        <v>63</v>
      </c>
      <c r="C19" s="32" t="s">
        <v>64</v>
      </c>
      <c r="D19" s="88" t="s">
        <v>80</v>
      </c>
      <c r="E19" s="88" t="s">
        <v>81</v>
      </c>
      <c r="F19" s="88">
        <v>1</v>
      </c>
      <c r="G19" s="88">
        <v>2024.7</v>
      </c>
      <c r="H19" s="88">
        <v>19</v>
      </c>
      <c r="I19" s="88">
        <v>1</v>
      </c>
      <c r="J19" s="33" t="s">
        <v>67</v>
      </c>
      <c r="K19" s="36" t="s">
        <v>82</v>
      </c>
      <c r="L19" s="37" t="s">
        <v>83</v>
      </c>
      <c r="M19" s="43" t="s">
        <v>84</v>
      </c>
      <c r="N19" s="43" t="s">
        <v>84</v>
      </c>
      <c r="O19" s="38" t="s">
        <v>72</v>
      </c>
      <c r="P19" s="38" t="s">
        <v>73</v>
      </c>
      <c r="Q19" s="43"/>
      <c r="R19" s="43"/>
      <c r="S19" s="45"/>
    </row>
    <row r="20" s="2" customFormat="1" ht="27" hidden="1" spans="1:19">
      <c r="A20" s="32" t="s">
        <v>62</v>
      </c>
      <c r="B20" s="32" t="s">
        <v>63</v>
      </c>
      <c r="C20" s="32" t="s">
        <v>64</v>
      </c>
      <c r="D20" s="89" t="s">
        <v>85</v>
      </c>
      <c r="E20" s="89" t="s">
        <v>86</v>
      </c>
      <c r="F20" s="89">
        <v>1</v>
      </c>
      <c r="G20" s="89">
        <v>2025.3</v>
      </c>
      <c r="H20" s="89">
        <v>21</v>
      </c>
      <c r="I20" s="89">
        <v>1</v>
      </c>
      <c r="J20" s="33" t="s">
        <v>67</v>
      </c>
      <c r="K20" s="36" t="s">
        <v>87</v>
      </c>
      <c r="L20" s="37" t="s">
        <v>88</v>
      </c>
      <c r="M20" s="45" t="s">
        <v>36</v>
      </c>
      <c r="N20" s="100" t="s">
        <v>37</v>
      </c>
      <c r="O20" s="38" t="s">
        <v>72</v>
      </c>
      <c r="P20" s="38" t="s">
        <v>73</v>
      </c>
      <c r="Q20" s="43"/>
      <c r="R20" s="43"/>
      <c r="S20" s="45"/>
    </row>
    <row r="21" s="2" customFormat="1" ht="67.5" hidden="1" spans="1:19">
      <c r="A21" s="32" t="s">
        <v>62</v>
      </c>
      <c r="B21" s="32" t="s">
        <v>63</v>
      </c>
      <c r="C21" s="32" t="s">
        <v>64</v>
      </c>
      <c r="D21" s="90" t="s">
        <v>89</v>
      </c>
      <c r="E21" s="90" t="s">
        <v>90</v>
      </c>
      <c r="F21" s="89">
        <v>1</v>
      </c>
      <c r="G21" s="89">
        <v>2024.5</v>
      </c>
      <c r="H21" s="89">
        <v>13</v>
      </c>
      <c r="I21" s="89">
        <v>1</v>
      </c>
      <c r="J21" s="33" t="s">
        <v>67</v>
      </c>
      <c r="K21" s="36" t="s">
        <v>91</v>
      </c>
      <c r="L21" s="37" t="s">
        <v>92</v>
      </c>
      <c r="M21" s="45" t="s">
        <v>44</v>
      </c>
      <c r="N21" s="100" t="s">
        <v>45</v>
      </c>
      <c r="O21" s="38" t="s">
        <v>72</v>
      </c>
      <c r="P21" s="38" t="s">
        <v>73</v>
      </c>
      <c r="Q21" s="43"/>
      <c r="R21" s="44"/>
      <c r="S21" s="45"/>
    </row>
    <row r="22" s="2" customFormat="1" ht="27" hidden="1" spans="1:19">
      <c r="A22" s="32" t="s">
        <v>62</v>
      </c>
      <c r="B22" s="32" t="s">
        <v>63</v>
      </c>
      <c r="C22" s="32" t="s">
        <v>64</v>
      </c>
      <c r="D22" s="90" t="s">
        <v>93</v>
      </c>
      <c r="E22" s="90" t="s">
        <v>94</v>
      </c>
      <c r="F22" s="89">
        <v>4</v>
      </c>
      <c r="G22" s="89">
        <v>2025.4</v>
      </c>
      <c r="H22" s="89">
        <v>3</v>
      </c>
      <c r="I22" s="89">
        <v>4</v>
      </c>
      <c r="J22" s="33" t="s">
        <v>67</v>
      </c>
      <c r="K22" s="36" t="s">
        <v>95</v>
      </c>
      <c r="L22" s="37" t="s">
        <v>96</v>
      </c>
      <c r="M22" s="45" t="s">
        <v>97</v>
      </c>
      <c r="N22" s="100" t="s">
        <v>98</v>
      </c>
      <c r="O22" s="38" t="s">
        <v>72</v>
      </c>
      <c r="P22" s="38" t="s">
        <v>73</v>
      </c>
      <c r="Q22" s="43"/>
      <c r="R22" s="44"/>
      <c r="S22" s="45"/>
    </row>
    <row r="23" s="171" customFormat="1" ht="108" spans="1:19">
      <c r="A23" s="175" t="s">
        <v>62</v>
      </c>
      <c r="B23" s="175" t="s">
        <v>63</v>
      </c>
      <c r="C23" s="175" t="s">
        <v>64</v>
      </c>
      <c r="D23" s="176" t="s">
        <v>99</v>
      </c>
      <c r="E23" s="176" t="s">
        <v>100</v>
      </c>
      <c r="F23" s="176" t="s">
        <v>101</v>
      </c>
      <c r="G23" s="176">
        <v>2025.4</v>
      </c>
      <c r="H23" s="176">
        <v>8</v>
      </c>
      <c r="I23" s="176" t="s">
        <v>405</v>
      </c>
      <c r="J23" s="176" t="s">
        <v>67</v>
      </c>
      <c r="K23" s="180" t="s">
        <v>102</v>
      </c>
      <c r="L23" s="181" t="s">
        <v>103</v>
      </c>
      <c r="M23" s="90" t="s">
        <v>28</v>
      </c>
      <c r="N23" s="90" t="s">
        <v>29</v>
      </c>
      <c r="O23" s="60" t="s">
        <v>72</v>
      </c>
      <c r="P23" s="60" t="s">
        <v>73</v>
      </c>
      <c r="Q23" s="179"/>
      <c r="R23" s="184"/>
      <c r="S23" s="178"/>
    </row>
    <row r="24" s="2" customFormat="1" ht="54" hidden="1" spans="1:19">
      <c r="A24" s="32" t="s">
        <v>62</v>
      </c>
      <c r="B24" s="32" t="s">
        <v>63</v>
      </c>
      <c r="C24" s="32" t="s">
        <v>64</v>
      </c>
      <c r="D24" s="33" t="s">
        <v>99</v>
      </c>
      <c r="E24" s="33" t="s">
        <v>100</v>
      </c>
      <c r="F24" s="33" t="s">
        <v>101</v>
      </c>
      <c r="G24" s="33">
        <v>2025.4</v>
      </c>
      <c r="H24" s="33">
        <v>8</v>
      </c>
      <c r="I24" s="33" t="s">
        <v>101</v>
      </c>
      <c r="J24" s="33" t="s">
        <v>67</v>
      </c>
      <c r="K24" s="36" t="s">
        <v>104</v>
      </c>
      <c r="L24" s="37" t="s">
        <v>406</v>
      </c>
      <c r="M24" s="153" t="s">
        <v>70</v>
      </c>
      <c r="N24" s="153" t="s">
        <v>71</v>
      </c>
      <c r="O24" s="38" t="s">
        <v>72</v>
      </c>
      <c r="P24" s="38" t="s">
        <v>73</v>
      </c>
      <c r="Q24" s="43"/>
      <c r="R24" s="44"/>
      <c r="S24" s="45"/>
    </row>
    <row r="25" s="171" customFormat="1" ht="60" spans="1:19">
      <c r="A25" s="175" t="s">
        <v>62</v>
      </c>
      <c r="B25" s="175" t="s">
        <v>63</v>
      </c>
      <c r="C25" s="175" t="s">
        <v>64</v>
      </c>
      <c r="D25" s="176" t="s">
        <v>99</v>
      </c>
      <c r="E25" s="176" t="s">
        <v>100</v>
      </c>
      <c r="F25" s="176" t="s">
        <v>101</v>
      </c>
      <c r="G25" s="176">
        <v>2025.4</v>
      </c>
      <c r="H25" s="176">
        <v>8</v>
      </c>
      <c r="I25" s="176" t="s">
        <v>101</v>
      </c>
      <c r="J25" s="176" t="s">
        <v>67</v>
      </c>
      <c r="K25" s="180" t="s">
        <v>433</v>
      </c>
      <c r="L25" s="181" t="s">
        <v>408</v>
      </c>
      <c r="M25" s="181" t="s">
        <v>108</v>
      </c>
      <c r="N25" s="181" t="s">
        <v>109</v>
      </c>
      <c r="O25" s="60" t="s">
        <v>72</v>
      </c>
      <c r="P25" s="60" t="s">
        <v>73</v>
      </c>
      <c r="Q25" s="179"/>
      <c r="R25" s="184"/>
      <c r="S25" s="178"/>
    </row>
    <row r="26" s="171" customFormat="1" ht="72" spans="1:19">
      <c r="A26" s="175" t="s">
        <v>62</v>
      </c>
      <c r="B26" s="175" t="s">
        <v>63</v>
      </c>
      <c r="C26" s="175" t="s">
        <v>64</v>
      </c>
      <c r="D26" s="176" t="s">
        <v>99</v>
      </c>
      <c r="E26" s="176" t="s">
        <v>100</v>
      </c>
      <c r="F26" s="176" t="s">
        <v>101</v>
      </c>
      <c r="G26" s="176">
        <v>2025.4</v>
      </c>
      <c r="H26" s="176">
        <v>8</v>
      </c>
      <c r="I26" s="176" t="s">
        <v>101</v>
      </c>
      <c r="J26" s="176" t="s">
        <v>67</v>
      </c>
      <c r="K26" s="180" t="s">
        <v>409</v>
      </c>
      <c r="L26" s="181" t="s">
        <v>410</v>
      </c>
      <c r="M26" s="181" t="s">
        <v>108</v>
      </c>
      <c r="N26" s="181" t="s">
        <v>109</v>
      </c>
      <c r="O26" s="60" t="s">
        <v>72</v>
      </c>
      <c r="P26" s="60" t="s">
        <v>73</v>
      </c>
      <c r="Q26" s="179"/>
      <c r="R26" s="184"/>
      <c r="S26" s="178"/>
    </row>
    <row r="27" s="171" customFormat="1" ht="60" spans="1:19">
      <c r="A27" s="175" t="s">
        <v>62</v>
      </c>
      <c r="B27" s="175" t="s">
        <v>63</v>
      </c>
      <c r="C27" s="175" t="s">
        <v>64</v>
      </c>
      <c r="D27" s="176" t="s">
        <v>99</v>
      </c>
      <c r="E27" s="176" t="s">
        <v>100</v>
      </c>
      <c r="F27" s="176" t="s">
        <v>101</v>
      </c>
      <c r="G27" s="176">
        <v>2025.4</v>
      </c>
      <c r="H27" s="176">
        <v>8</v>
      </c>
      <c r="I27" s="176" t="s">
        <v>101</v>
      </c>
      <c r="J27" s="176" t="s">
        <v>67</v>
      </c>
      <c r="K27" s="180" t="s">
        <v>112</v>
      </c>
      <c r="L27" s="181" t="s">
        <v>113</v>
      </c>
      <c r="M27" s="181" t="s">
        <v>114</v>
      </c>
      <c r="N27" s="181" t="s">
        <v>115</v>
      </c>
      <c r="O27" s="60" t="s">
        <v>72</v>
      </c>
      <c r="P27" s="60" t="s">
        <v>73</v>
      </c>
      <c r="Q27" s="179"/>
      <c r="R27" s="184"/>
      <c r="S27" s="178"/>
    </row>
    <row r="28" s="2" customFormat="1" ht="54" hidden="1" spans="1:19">
      <c r="A28" s="32" t="s">
        <v>62</v>
      </c>
      <c r="B28" s="32" t="s">
        <v>63</v>
      </c>
      <c r="C28" s="32" t="s">
        <v>64</v>
      </c>
      <c r="D28" s="33" t="s">
        <v>99</v>
      </c>
      <c r="E28" s="33" t="s">
        <v>100</v>
      </c>
      <c r="F28" s="33" t="s">
        <v>101</v>
      </c>
      <c r="G28" s="33">
        <v>2025.4</v>
      </c>
      <c r="H28" s="33">
        <v>8</v>
      </c>
      <c r="I28" s="33" t="s">
        <v>101</v>
      </c>
      <c r="J28" s="33" t="s">
        <v>67</v>
      </c>
      <c r="K28" s="36" t="s">
        <v>411</v>
      </c>
      <c r="L28" s="37" t="s">
        <v>412</v>
      </c>
      <c r="M28" s="37" t="s">
        <v>118</v>
      </c>
      <c r="N28" s="37" t="s">
        <v>119</v>
      </c>
      <c r="O28" s="38" t="s">
        <v>72</v>
      </c>
      <c r="P28" s="38" t="s">
        <v>73</v>
      </c>
      <c r="Q28" s="43"/>
      <c r="R28" s="44"/>
      <c r="S28" s="45"/>
    </row>
    <row r="29" s="2" customFormat="1" ht="42.75" hidden="1" spans="1:19">
      <c r="A29" s="32" t="s">
        <v>62</v>
      </c>
      <c r="B29" s="32" t="s">
        <v>63</v>
      </c>
      <c r="C29" s="32" t="s">
        <v>64</v>
      </c>
      <c r="D29" s="33" t="s">
        <v>99</v>
      </c>
      <c r="E29" s="33" t="s">
        <v>100</v>
      </c>
      <c r="F29" s="33" t="s">
        <v>101</v>
      </c>
      <c r="G29" s="33">
        <v>2025.4</v>
      </c>
      <c r="H29" s="33">
        <v>8</v>
      </c>
      <c r="I29" s="33" t="s">
        <v>101</v>
      </c>
      <c r="J29" s="33" t="s">
        <v>67</v>
      </c>
      <c r="K29" s="36" t="s">
        <v>120</v>
      </c>
      <c r="L29" s="37" t="s">
        <v>121</v>
      </c>
      <c r="M29" s="37" t="s">
        <v>70</v>
      </c>
      <c r="N29" s="37" t="s">
        <v>122</v>
      </c>
      <c r="O29" s="38" t="s">
        <v>72</v>
      </c>
      <c r="P29" s="38" t="s">
        <v>73</v>
      </c>
      <c r="Q29" s="43"/>
      <c r="R29" s="44"/>
      <c r="S29" s="45"/>
    </row>
    <row r="30" s="2" customFormat="1" ht="42.75" hidden="1" spans="1:19">
      <c r="A30" s="32" t="s">
        <v>62</v>
      </c>
      <c r="B30" s="32" t="s">
        <v>63</v>
      </c>
      <c r="C30" s="32" t="s">
        <v>64</v>
      </c>
      <c r="D30" s="33" t="s">
        <v>99</v>
      </c>
      <c r="E30" s="33" t="s">
        <v>100</v>
      </c>
      <c r="F30" s="33" t="s">
        <v>101</v>
      </c>
      <c r="G30" s="33">
        <v>2025.4</v>
      </c>
      <c r="H30" s="33">
        <v>8</v>
      </c>
      <c r="I30" s="33" t="s">
        <v>101</v>
      </c>
      <c r="J30" s="33" t="s">
        <v>67</v>
      </c>
      <c r="K30" s="36" t="s">
        <v>123</v>
      </c>
      <c r="L30" s="37" t="s">
        <v>124</v>
      </c>
      <c r="M30" s="37" t="s">
        <v>125</v>
      </c>
      <c r="N30" s="37" t="s">
        <v>126</v>
      </c>
      <c r="O30" s="38" t="s">
        <v>72</v>
      </c>
      <c r="P30" s="38" t="s">
        <v>73</v>
      </c>
      <c r="Q30" s="43"/>
      <c r="R30" s="44"/>
      <c r="S30" s="45"/>
    </row>
    <row r="31" s="2" customFormat="1" ht="85.5" hidden="1" spans="1:19">
      <c r="A31" s="32" t="s">
        <v>62</v>
      </c>
      <c r="B31" s="32" t="s">
        <v>63</v>
      </c>
      <c r="C31" s="32" t="s">
        <v>64</v>
      </c>
      <c r="D31" s="33" t="s">
        <v>127</v>
      </c>
      <c r="E31" s="33" t="s">
        <v>128</v>
      </c>
      <c r="F31" s="33" t="s">
        <v>129</v>
      </c>
      <c r="G31" s="33">
        <v>2025.4</v>
      </c>
      <c r="H31" s="33">
        <v>14</v>
      </c>
      <c r="I31" s="33" t="s">
        <v>405</v>
      </c>
      <c r="J31" s="33" t="s">
        <v>67</v>
      </c>
      <c r="K31" s="36" t="s">
        <v>130</v>
      </c>
      <c r="L31" s="37" t="s">
        <v>131</v>
      </c>
      <c r="M31" s="37" t="s">
        <v>132</v>
      </c>
      <c r="N31" s="37" t="s">
        <v>133</v>
      </c>
      <c r="O31" s="38" t="s">
        <v>72</v>
      </c>
      <c r="P31" s="38" t="s">
        <v>73</v>
      </c>
      <c r="Q31" s="43"/>
      <c r="R31" s="44"/>
      <c r="S31" s="45"/>
    </row>
    <row r="32" s="2" customFormat="1" ht="85.5" hidden="1" spans="1:19">
      <c r="A32" s="32" t="s">
        <v>62</v>
      </c>
      <c r="B32" s="32" t="s">
        <v>63</v>
      </c>
      <c r="C32" s="32" t="s">
        <v>64</v>
      </c>
      <c r="D32" s="33" t="s">
        <v>127</v>
      </c>
      <c r="E32" s="33" t="s">
        <v>128</v>
      </c>
      <c r="F32" s="33" t="s">
        <v>129</v>
      </c>
      <c r="G32" s="33">
        <v>2025.4</v>
      </c>
      <c r="H32" s="33">
        <v>14</v>
      </c>
      <c r="I32" s="33" t="s">
        <v>129</v>
      </c>
      <c r="J32" s="33" t="s">
        <v>67</v>
      </c>
      <c r="K32" s="36" t="s">
        <v>134</v>
      </c>
      <c r="L32" s="37" t="s">
        <v>135</v>
      </c>
      <c r="M32" s="37"/>
      <c r="N32" s="37"/>
      <c r="O32" s="38" t="s">
        <v>72</v>
      </c>
      <c r="P32" s="38" t="s">
        <v>73</v>
      </c>
      <c r="Q32" s="43"/>
      <c r="R32" s="44"/>
      <c r="S32" s="45"/>
    </row>
    <row r="33" s="2" customFormat="1" ht="94.5" hidden="1" spans="1:19">
      <c r="A33" s="32" t="s">
        <v>62</v>
      </c>
      <c r="B33" s="32" t="s">
        <v>63</v>
      </c>
      <c r="C33" s="32" t="s">
        <v>64</v>
      </c>
      <c r="D33" s="33" t="s">
        <v>127</v>
      </c>
      <c r="E33" s="33" t="s">
        <v>128</v>
      </c>
      <c r="F33" s="33" t="s">
        <v>129</v>
      </c>
      <c r="G33" s="33">
        <v>2025.4</v>
      </c>
      <c r="H33" s="33">
        <v>14</v>
      </c>
      <c r="I33" s="33" t="s">
        <v>129</v>
      </c>
      <c r="J33" s="33" t="s">
        <v>67</v>
      </c>
      <c r="K33" s="36" t="s">
        <v>413</v>
      </c>
      <c r="L33" s="37" t="s">
        <v>414</v>
      </c>
      <c r="M33" s="37" t="s">
        <v>138</v>
      </c>
      <c r="N33" s="37" t="s">
        <v>139</v>
      </c>
      <c r="O33" s="38" t="s">
        <v>72</v>
      </c>
      <c r="P33" s="38" t="s">
        <v>73</v>
      </c>
      <c r="Q33" s="43"/>
      <c r="R33" s="44"/>
      <c r="S33" s="45"/>
    </row>
    <row r="34" s="2" customFormat="1" ht="85.5" hidden="1" spans="1:19">
      <c r="A34" s="32" t="s">
        <v>62</v>
      </c>
      <c r="B34" s="32" t="s">
        <v>63</v>
      </c>
      <c r="C34" s="32" t="s">
        <v>64</v>
      </c>
      <c r="D34" s="33" t="s">
        <v>127</v>
      </c>
      <c r="E34" s="33" t="s">
        <v>128</v>
      </c>
      <c r="F34" s="33" t="s">
        <v>129</v>
      </c>
      <c r="G34" s="33">
        <v>2025.4</v>
      </c>
      <c r="H34" s="33">
        <v>14</v>
      </c>
      <c r="I34" s="33" t="s">
        <v>129</v>
      </c>
      <c r="J34" s="33" t="s">
        <v>67</v>
      </c>
      <c r="K34" s="36" t="s">
        <v>140</v>
      </c>
      <c r="L34" s="37" t="s">
        <v>415</v>
      </c>
      <c r="M34" s="37" t="s">
        <v>132</v>
      </c>
      <c r="N34" s="37" t="s">
        <v>133</v>
      </c>
      <c r="O34" s="38" t="s">
        <v>72</v>
      </c>
      <c r="P34" s="38" t="s">
        <v>73</v>
      </c>
      <c r="Q34" s="43"/>
      <c r="R34" s="44"/>
      <c r="S34" s="45"/>
    </row>
    <row r="35" s="2" customFormat="1" ht="85.5" hidden="1" spans="1:19">
      <c r="A35" s="32" t="s">
        <v>62</v>
      </c>
      <c r="B35" s="32" t="s">
        <v>63</v>
      </c>
      <c r="C35" s="32" t="s">
        <v>64</v>
      </c>
      <c r="D35" s="33" t="s">
        <v>127</v>
      </c>
      <c r="E35" s="33" t="s">
        <v>128</v>
      </c>
      <c r="F35" s="33" t="s">
        <v>129</v>
      </c>
      <c r="G35" s="33">
        <v>2025.4</v>
      </c>
      <c r="H35" s="33">
        <v>14</v>
      </c>
      <c r="I35" s="33" t="s">
        <v>129</v>
      </c>
      <c r="J35" s="33" t="s">
        <v>67</v>
      </c>
      <c r="K35" s="36" t="s">
        <v>142</v>
      </c>
      <c r="L35" s="37" t="s">
        <v>143</v>
      </c>
      <c r="M35" s="37" t="s">
        <v>84</v>
      </c>
      <c r="N35" s="37" t="s">
        <v>84</v>
      </c>
      <c r="O35" s="38" t="s">
        <v>72</v>
      </c>
      <c r="P35" s="38" t="s">
        <v>73</v>
      </c>
      <c r="Q35" s="43"/>
      <c r="R35" s="44"/>
      <c r="S35" s="45"/>
    </row>
    <row r="36" s="171" customFormat="1" ht="72" spans="1:19">
      <c r="A36" s="175" t="s">
        <v>62</v>
      </c>
      <c r="B36" s="175" t="s">
        <v>63</v>
      </c>
      <c r="C36" s="175" t="s">
        <v>64</v>
      </c>
      <c r="D36" s="176" t="s">
        <v>127</v>
      </c>
      <c r="E36" s="176" t="s">
        <v>128</v>
      </c>
      <c r="F36" s="176" t="s">
        <v>129</v>
      </c>
      <c r="G36" s="176">
        <v>2025.4</v>
      </c>
      <c r="H36" s="176">
        <v>14</v>
      </c>
      <c r="I36" s="176" t="s">
        <v>129</v>
      </c>
      <c r="J36" s="176" t="s">
        <v>67</v>
      </c>
      <c r="K36" s="180" t="s">
        <v>416</v>
      </c>
      <c r="L36" s="181" t="s">
        <v>145</v>
      </c>
      <c r="M36" s="181" t="s">
        <v>28</v>
      </c>
      <c r="N36" s="181" t="s">
        <v>29</v>
      </c>
      <c r="O36" s="60" t="s">
        <v>72</v>
      </c>
      <c r="P36" s="60" t="s">
        <v>73</v>
      </c>
      <c r="Q36" s="179"/>
      <c r="R36" s="184"/>
      <c r="S36" s="178"/>
    </row>
    <row r="37" s="171" customFormat="1" ht="132" spans="1:19">
      <c r="A37" s="175" t="s">
        <v>62</v>
      </c>
      <c r="B37" s="175" t="s">
        <v>63</v>
      </c>
      <c r="C37" s="175" t="s">
        <v>64</v>
      </c>
      <c r="D37" s="176" t="s">
        <v>127</v>
      </c>
      <c r="E37" s="176" t="s">
        <v>128</v>
      </c>
      <c r="F37" s="176" t="s">
        <v>129</v>
      </c>
      <c r="G37" s="176">
        <v>2025.4</v>
      </c>
      <c r="H37" s="176">
        <v>14</v>
      </c>
      <c r="I37" s="176" t="s">
        <v>129</v>
      </c>
      <c r="J37" s="176" t="s">
        <v>67</v>
      </c>
      <c r="K37" s="180" t="s">
        <v>417</v>
      </c>
      <c r="L37" s="181" t="s">
        <v>418</v>
      </c>
      <c r="M37" s="181" t="s">
        <v>148</v>
      </c>
      <c r="N37" s="181" t="s">
        <v>148</v>
      </c>
      <c r="O37" s="60" t="s">
        <v>72</v>
      </c>
      <c r="P37" s="60" t="s">
        <v>73</v>
      </c>
      <c r="Q37" s="179"/>
      <c r="R37" s="184"/>
      <c r="S37" s="178"/>
    </row>
    <row r="38" s="2" customFormat="1" ht="27" hidden="1" spans="1:19">
      <c r="A38" s="161" t="s">
        <v>149</v>
      </c>
      <c r="B38" s="94" t="s">
        <v>21</v>
      </c>
      <c r="C38" s="94" t="s">
        <v>150</v>
      </c>
      <c r="D38" s="94" t="s">
        <v>151</v>
      </c>
      <c r="E38" s="94" t="s">
        <v>152</v>
      </c>
      <c r="F38" s="94">
        <v>4</v>
      </c>
      <c r="G38" s="94">
        <v>2024.12</v>
      </c>
      <c r="H38" s="94">
        <v>30</v>
      </c>
      <c r="I38" s="94">
        <v>4</v>
      </c>
      <c r="J38" s="115" t="s">
        <v>153</v>
      </c>
      <c r="K38" s="37" t="s">
        <v>154</v>
      </c>
      <c r="L38" s="37" t="s">
        <v>155</v>
      </c>
      <c r="M38" s="153" t="s">
        <v>70</v>
      </c>
      <c r="N38" s="153" t="s">
        <v>156</v>
      </c>
      <c r="O38" s="101" t="s">
        <v>72</v>
      </c>
      <c r="P38" s="101" t="s">
        <v>157</v>
      </c>
      <c r="Q38" s="43"/>
      <c r="R38" s="101"/>
      <c r="S38" s="45"/>
    </row>
    <row r="39" s="2" customFormat="1" ht="27" hidden="1" spans="1:19">
      <c r="A39" s="161" t="s">
        <v>149</v>
      </c>
      <c r="B39" s="94" t="s">
        <v>21</v>
      </c>
      <c r="C39" s="94" t="s">
        <v>150</v>
      </c>
      <c r="D39" s="94" t="s">
        <v>151</v>
      </c>
      <c r="E39" s="94" t="s">
        <v>152</v>
      </c>
      <c r="F39" s="94">
        <v>4</v>
      </c>
      <c r="G39" s="94">
        <v>2024.12</v>
      </c>
      <c r="H39" s="94">
        <v>30</v>
      </c>
      <c r="I39" s="94">
        <v>4</v>
      </c>
      <c r="J39" s="115" t="s">
        <v>153</v>
      </c>
      <c r="K39" s="37" t="s">
        <v>158</v>
      </c>
      <c r="L39" s="37" t="s">
        <v>159</v>
      </c>
      <c r="M39" s="153" t="s">
        <v>36</v>
      </c>
      <c r="N39" s="153" t="s">
        <v>160</v>
      </c>
      <c r="O39" s="101" t="s">
        <v>72</v>
      </c>
      <c r="P39" s="101" t="s">
        <v>157</v>
      </c>
      <c r="Q39" s="43"/>
      <c r="R39" s="101"/>
      <c r="S39" s="45"/>
    </row>
    <row r="40" s="2" customFormat="1" ht="27" hidden="1" spans="1:19">
      <c r="A40" s="161" t="s">
        <v>149</v>
      </c>
      <c r="B40" s="94" t="s">
        <v>21</v>
      </c>
      <c r="C40" s="94" t="s">
        <v>150</v>
      </c>
      <c r="D40" s="94" t="s">
        <v>151</v>
      </c>
      <c r="E40" s="94" t="s">
        <v>152</v>
      </c>
      <c r="F40" s="94">
        <v>4</v>
      </c>
      <c r="G40" s="94">
        <v>2024.12</v>
      </c>
      <c r="H40" s="94">
        <v>30</v>
      </c>
      <c r="I40" s="94">
        <v>4</v>
      </c>
      <c r="J40" s="115" t="s">
        <v>153</v>
      </c>
      <c r="K40" s="37" t="s">
        <v>161</v>
      </c>
      <c r="L40" s="37" t="s">
        <v>162</v>
      </c>
      <c r="M40" s="153" t="s">
        <v>36</v>
      </c>
      <c r="N40" s="153" t="s">
        <v>160</v>
      </c>
      <c r="O40" s="101" t="s">
        <v>72</v>
      </c>
      <c r="P40" s="101" t="s">
        <v>157</v>
      </c>
      <c r="Q40" s="43"/>
      <c r="R40" s="101"/>
      <c r="S40" s="45"/>
    </row>
    <row r="41" s="2" customFormat="1" ht="72" hidden="1" spans="1:19">
      <c r="A41" s="161" t="s">
        <v>149</v>
      </c>
      <c r="B41" s="27" t="s">
        <v>21</v>
      </c>
      <c r="C41" s="27" t="s">
        <v>163</v>
      </c>
      <c r="D41" s="15" t="s">
        <v>164</v>
      </c>
      <c r="E41" s="27" t="s">
        <v>165</v>
      </c>
      <c r="F41" s="27">
        <v>14</v>
      </c>
      <c r="G41" s="27">
        <v>2024.1</v>
      </c>
      <c r="H41" s="27">
        <v>2</v>
      </c>
      <c r="I41" s="27">
        <v>14</v>
      </c>
      <c r="J41" s="115" t="s">
        <v>153</v>
      </c>
      <c r="K41" s="162" t="s">
        <v>166</v>
      </c>
      <c r="L41" s="153" t="s">
        <v>167</v>
      </c>
      <c r="M41" s="153" t="s">
        <v>70</v>
      </c>
      <c r="N41" s="153" t="s">
        <v>168</v>
      </c>
      <c r="O41" s="100" t="s">
        <v>169</v>
      </c>
      <c r="P41" s="100" t="s">
        <v>169</v>
      </c>
      <c r="Q41" s="43"/>
      <c r="R41" s="43"/>
      <c r="S41" s="45"/>
    </row>
    <row r="42" s="172" customFormat="1" ht="24" spans="1:19">
      <c r="A42" s="176" t="s">
        <v>170</v>
      </c>
      <c r="B42" s="177" t="s">
        <v>63</v>
      </c>
      <c r="C42" s="177" t="s">
        <v>171</v>
      </c>
      <c r="D42" s="177" t="s">
        <v>172</v>
      </c>
      <c r="E42" s="177" t="s">
        <v>173</v>
      </c>
      <c r="F42" s="177">
        <v>2</v>
      </c>
      <c r="G42" s="177">
        <v>2025.3</v>
      </c>
      <c r="H42" s="177">
        <v>18</v>
      </c>
      <c r="I42" s="177">
        <v>2</v>
      </c>
      <c r="J42" s="174" t="s">
        <v>153</v>
      </c>
      <c r="K42" s="182" t="s">
        <v>174</v>
      </c>
      <c r="L42" s="182" t="s">
        <v>175</v>
      </c>
      <c r="M42" s="178" t="s">
        <v>28</v>
      </c>
      <c r="N42" s="178" t="s">
        <v>176</v>
      </c>
      <c r="O42" s="63" t="s">
        <v>72</v>
      </c>
      <c r="P42" s="63" t="s">
        <v>73</v>
      </c>
      <c r="Q42" s="179"/>
      <c r="R42" s="179"/>
      <c r="S42" s="178"/>
    </row>
    <row r="43" s="82" customFormat="1" ht="27" hidden="1" spans="1:19">
      <c r="A43" s="33" t="s">
        <v>170</v>
      </c>
      <c r="B43" s="96" t="s">
        <v>63</v>
      </c>
      <c r="C43" s="96" t="s">
        <v>171</v>
      </c>
      <c r="D43" s="96" t="s">
        <v>172</v>
      </c>
      <c r="E43" s="96" t="s">
        <v>173</v>
      </c>
      <c r="F43" s="96">
        <v>2</v>
      </c>
      <c r="G43" s="96">
        <v>2025.3</v>
      </c>
      <c r="H43" s="96">
        <v>18</v>
      </c>
      <c r="I43" s="96">
        <v>2</v>
      </c>
      <c r="J43" s="115" t="s">
        <v>153</v>
      </c>
      <c r="K43" s="116" t="s">
        <v>177</v>
      </c>
      <c r="L43" s="117" t="s">
        <v>178</v>
      </c>
      <c r="M43" s="117" t="s">
        <v>36</v>
      </c>
      <c r="N43" s="45" t="s">
        <v>160</v>
      </c>
      <c r="O43" s="118" t="s">
        <v>72</v>
      </c>
      <c r="P43" s="118" t="s">
        <v>73</v>
      </c>
      <c r="Q43" s="43"/>
      <c r="R43" s="43"/>
      <c r="S43" s="45"/>
    </row>
    <row r="44" s="82" customFormat="1" ht="40.5" hidden="1" spans="1:19">
      <c r="A44" s="33" t="s">
        <v>170</v>
      </c>
      <c r="B44" s="96" t="s">
        <v>63</v>
      </c>
      <c r="C44" s="96" t="s">
        <v>171</v>
      </c>
      <c r="D44" s="96" t="s">
        <v>172</v>
      </c>
      <c r="E44" s="96" t="s">
        <v>173</v>
      </c>
      <c r="F44" s="96">
        <v>2</v>
      </c>
      <c r="G44" s="96">
        <v>2025.3</v>
      </c>
      <c r="H44" s="96">
        <v>18</v>
      </c>
      <c r="I44" s="96">
        <v>2</v>
      </c>
      <c r="J44" s="115" t="s">
        <v>153</v>
      </c>
      <c r="K44" s="116" t="s">
        <v>179</v>
      </c>
      <c r="L44" s="116" t="s">
        <v>180</v>
      </c>
      <c r="M44" s="117" t="s">
        <v>36</v>
      </c>
      <c r="N44" s="45" t="s">
        <v>160</v>
      </c>
      <c r="O44" s="118" t="s">
        <v>72</v>
      </c>
      <c r="P44" s="118" t="s">
        <v>73</v>
      </c>
      <c r="Q44" s="43"/>
      <c r="R44" s="43"/>
      <c r="S44" s="45"/>
    </row>
    <row r="45" s="82" customFormat="1" ht="40.5" hidden="1" spans="1:19">
      <c r="A45" s="33" t="s">
        <v>170</v>
      </c>
      <c r="B45" s="96" t="s">
        <v>63</v>
      </c>
      <c r="C45" s="96" t="s">
        <v>171</v>
      </c>
      <c r="D45" s="96" t="s">
        <v>172</v>
      </c>
      <c r="E45" s="96" t="s">
        <v>173</v>
      </c>
      <c r="F45" s="96">
        <v>2</v>
      </c>
      <c r="G45" s="96">
        <v>2025.3</v>
      </c>
      <c r="H45" s="96">
        <v>18</v>
      </c>
      <c r="I45" s="96">
        <v>2</v>
      </c>
      <c r="J45" s="115" t="s">
        <v>153</v>
      </c>
      <c r="K45" s="116" t="s">
        <v>181</v>
      </c>
      <c r="L45" s="116" t="s">
        <v>182</v>
      </c>
      <c r="M45" s="117" t="s">
        <v>36</v>
      </c>
      <c r="N45" s="45" t="s">
        <v>160</v>
      </c>
      <c r="O45" s="118" t="s">
        <v>72</v>
      </c>
      <c r="P45" s="118" t="s">
        <v>73</v>
      </c>
      <c r="Q45" s="43"/>
      <c r="R45" s="43"/>
      <c r="S45" s="45"/>
    </row>
    <row r="46" s="82" customFormat="1" ht="27" hidden="1" spans="1:19">
      <c r="A46" s="33" t="s">
        <v>170</v>
      </c>
      <c r="B46" s="96" t="s">
        <v>63</v>
      </c>
      <c r="C46" s="96" t="s">
        <v>171</v>
      </c>
      <c r="D46" s="96" t="s">
        <v>172</v>
      </c>
      <c r="E46" s="96" t="s">
        <v>173</v>
      </c>
      <c r="F46" s="96">
        <v>2</v>
      </c>
      <c r="G46" s="96">
        <v>2025.3</v>
      </c>
      <c r="H46" s="96">
        <v>18</v>
      </c>
      <c r="I46" s="96">
        <v>2</v>
      </c>
      <c r="J46" s="115" t="s">
        <v>153</v>
      </c>
      <c r="K46" s="116" t="s">
        <v>434</v>
      </c>
      <c r="L46" s="116" t="s">
        <v>184</v>
      </c>
      <c r="M46" s="45" t="s">
        <v>44</v>
      </c>
      <c r="N46" s="45" t="s">
        <v>45</v>
      </c>
      <c r="O46" s="118" t="s">
        <v>72</v>
      </c>
      <c r="P46" s="118" t="s">
        <v>73</v>
      </c>
      <c r="Q46" s="43"/>
      <c r="R46" s="43"/>
      <c r="S46" s="45"/>
    </row>
    <row r="47" s="82" customFormat="1" ht="40.5" hidden="1" spans="1:19">
      <c r="A47" s="33" t="s">
        <v>170</v>
      </c>
      <c r="B47" s="96" t="s">
        <v>63</v>
      </c>
      <c r="C47" s="96" t="s">
        <v>171</v>
      </c>
      <c r="D47" s="96" t="s">
        <v>172</v>
      </c>
      <c r="E47" s="96" t="s">
        <v>173</v>
      </c>
      <c r="F47" s="96">
        <v>2</v>
      </c>
      <c r="G47" s="96">
        <v>2025.3</v>
      </c>
      <c r="H47" s="96">
        <v>18</v>
      </c>
      <c r="I47" s="96">
        <v>2</v>
      </c>
      <c r="J47" s="115" t="s">
        <v>153</v>
      </c>
      <c r="K47" s="116" t="s">
        <v>185</v>
      </c>
      <c r="L47" s="116" t="s">
        <v>186</v>
      </c>
      <c r="M47" s="45" t="s">
        <v>52</v>
      </c>
      <c r="N47" s="45" t="s">
        <v>187</v>
      </c>
      <c r="O47" s="118" t="s">
        <v>72</v>
      </c>
      <c r="P47" s="118" t="s">
        <v>73</v>
      </c>
      <c r="Q47" s="43"/>
      <c r="R47" s="43"/>
      <c r="S47" s="45"/>
    </row>
    <row r="48" s="82" customFormat="1" ht="14.25" hidden="1" spans="1:19">
      <c r="A48" s="33" t="s">
        <v>170</v>
      </c>
      <c r="B48" s="96" t="s">
        <v>63</v>
      </c>
      <c r="C48" s="96" t="s">
        <v>171</v>
      </c>
      <c r="D48" s="96" t="s">
        <v>172</v>
      </c>
      <c r="E48" s="96" t="s">
        <v>173</v>
      </c>
      <c r="F48" s="96">
        <v>2</v>
      </c>
      <c r="G48" s="96">
        <v>2025.3</v>
      </c>
      <c r="H48" s="96">
        <v>18</v>
      </c>
      <c r="I48" s="96">
        <v>2</v>
      </c>
      <c r="J48" s="115" t="s">
        <v>153</v>
      </c>
      <c r="K48" s="116" t="s">
        <v>188</v>
      </c>
      <c r="L48" s="116" t="s">
        <v>189</v>
      </c>
      <c r="M48" s="45" t="s">
        <v>44</v>
      </c>
      <c r="N48" s="45" t="s">
        <v>45</v>
      </c>
      <c r="O48" s="118" t="s">
        <v>72</v>
      </c>
      <c r="P48" s="118" t="s">
        <v>73</v>
      </c>
      <c r="Q48" s="43"/>
      <c r="R48" s="43"/>
      <c r="S48" s="45"/>
    </row>
    <row r="49" s="82" customFormat="1" ht="27" hidden="1" spans="1:19">
      <c r="A49" s="33" t="s">
        <v>170</v>
      </c>
      <c r="B49" s="96" t="s">
        <v>63</v>
      </c>
      <c r="C49" s="96" t="s">
        <v>171</v>
      </c>
      <c r="D49" s="96" t="s">
        <v>172</v>
      </c>
      <c r="E49" s="96" t="s">
        <v>173</v>
      </c>
      <c r="F49" s="96">
        <v>2</v>
      </c>
      <c r="G49" s="96">
        <v>2025.3</v>
      </c>
      <c r="H49" s="96">
        <v>18</v>
      </c>
      <c r="I49" s="96">
        <v>2</v>
      </c>
      <c r="J49" s="115" t="s">
        <v>153</v>
      </c>
      <c r="K49" s="116" t="s">
        <v>190</v>
      </c>
      <c r="L49" s="116" t="s">
        <v>191</v>
      </c>
      <c r="M49" s="117" t="s">
        <v>36</v>
      </c>
      <c r="N49" s="45" t="s">
        <v>160</v>
      </c>
      <c r="O49" s="118" t="s">
        <v>72</v>
      </c>
      <c r="P49" s="118" t="s">
        <v>73</v>
      </c>
      <c r="Q49" s="43"/>
      <c r="R49" s="43"/>
      <c r="S49" s="45"/>
    </row>
    <row r="50" s="82" customFormat="1" ht="40.5" hidden="1" spans="1:19">
      <c r="A50" s="33" t="s">
        <v>170</v>
      </c>
      <c r="B50" s="96" t="s">
        <v>63</v>
      </c>
      <c r="C50" s="96" t="s">
        <v>171</v>
      </c>
      <c r="D50" s="96" t="s">
        <v>172</v>
      </c>
      <c r="E50" s="96" t="s">
        <v>173</v>
      </c>
      <c r="F50" s="96">
        <v>2</v>
      </c>
      <c r="G50" s="96">
        <v>2025.3</v>
      </c>
      <c r="H50" s="96">
        <v>18</v>
      </c>
      <c r="I50" s="96">
        <v>2</v>
      </c>
      <c r="J50" s="115" t="s">
        <v>153</v>
      </c>
      <c r="K50" s="116" t="s">
        <v>192</v>
      </c>
      <c r="L50" s="116" t="s">
        <v>193</v>
      </c>
      <c r="M50" s="45" t="s">
        <v>44</v>
      </c>
      <c r="N50" s="45" t="s">
        <v>45</v>
      </c>
      <c r="O50" s="118" t="s">
        <v>72</v>
      </c>
      <c r="P50" s="118" t="s">
        <v>73</v>
      </c>
      <c r="Q50" s="43"/>
      <c r="R50" s="43"/>
      <c r="S50" s="45"/>
    </row>
    <row r="51" s="82" customFormat="1" ht="40.5" hidden="1" spans="1:19">
      <c r="A51" s="33" t="s">
        <v>170</v>
      </c>
      <c r="B51" s="96" t="s">
        <v>63</v>
      </c>
      <c r="C51" s="96" t="s">
        <v>171</v>
      </c>
      <c r="D51" s="96" t="s">
        <v>194</v>
      </c>
      <c r="E51" s="96" t="s">
        <v>195</v>
      </c>
      <c r="F51" s="96">
        <v>3</v>
      </c>
      <c r="G51" s="96">
        <v>2025.4</v>
      </c>
      <c r="H51" s="96">
        <v>9</v>
      </c>
      <c r="I51" s="96">
        <v>3</v>
      </c>
      <c r="J51" s="115" t="s">
        <v>153</v>
      </c>
      <c r="K51" s="116" t="s">
        <v>196</v>
      </c>
      <c r="L51" s="116" t="s">
        <v>197</v>
      </c>
      <c r="M51" s="117" t="s">
        <v>36</v>
      </c>
      <c r="N51" s="45" t="s">
        <v>160</v>
      </c>
      <c r="O51" s="118" t="s">
        <v>72</v>
      </c>
      <c r="P51" s="118" t="s">
        <v>73</v>
      </c>
      <c r="Q51" s="43"/>
      <c r="R51" s="43"/>
      <c r="S51" s="45"/>
    </row>
    <row r="52" s="82" customFormat="1" ht="27" hidden="1" spans="1:19">
      <c r="A52" s="33" t="s">
        <v>170</v>
      </c>
      <c r="B52" s="96" t="s">
        <v>63</v>
      </c>
      <c r="C52" s="96" t="s">
        <v>171</v>
      </c>
      <c r="D52" s="96" t="s">
        <v>194</v>
      </c>
      <c r="E52" s="96" t="s">
        <v>195</v>
      </c>
      <c r="F52" s="96">
        <v>3</v>
      </c>
      <c r="G52" s="96">
        <v>2025.4</v>
      </c>
      <c r="H52" s="96">
        <v>9</v>
      </c>
      <c r="I52" s="96">
        <v>3</v>
      </c>
      <c r="J52" s="115" t="s">
        <v>153</v>
      </c>
      <c r="K52" s="116" t="s">
        <v>198</v>
      </c>
      <c r="L52" s="116" t="s">
        <v>199</v>
      </c>
      <c r="M52" s="117" t="s">
        <v>36</v>
      </c>
      <c r="N52" s="45" t="s">
        <v>160</v>
      </c>
      <c r="O52" s="118" t="s">
        <v>72</v>
      </c>
      <c r="P52" s="118" t="s">
        <v>73</v>
      </c>
      <c r="Q52" s="43"/>
      <c r="R52" s="43"/>
      <c r="S52" s="45"/>
    </row>
    <row r="53" s="82" customFormat="1" ht="27" hidden="1" spans="1:19">
      <c r="A53" s="33" t="s">
        <v>170</v>
      </c>
      <c r="B53" s="96" t="s">
        <v>63</v>
      </c>
      <c r="C53" s="96" t="s">
        <v>171</v>
      </c>
      <c r="D53" s="96" t="s">
        <v>194</v>
      </c>
      <c r="E53" s="96" t="s">
        <v>195</v>
      </c>
      <c r="F53" s="96">
        <v>3</v>
      </c>
      <c r="G53" s="96">
        <v>2025.4</v>
      </c>
      <c r="H53" s="96">
        <v>9</v>
      </c>
      <c r="I53" s="96">
        <v>3</v>
      </c>
      <c r="J53" s="115" t="s">
        <v>153</v>
      </c>
      <c r="K53" s="116" t="s">
        <v>200</v>
      </c>
      <c r="L53" s="116" t="s">
        <v>201</v>
      </c>
      <c r="M53" s="117" t="s">
        <v>36</v>
      </c>
      <c r="N53" s="45" t="s">
        <v>160</v>
      </c>
      <c r="O53" s="118" t="s">
        <v>72</v>
      </c>
      <c r="P53" s="118" t="s">
        <v>73</v>
      </c>
      <c r="Q53" s="43"/>
      <c r="R53" s="43"/>
      <c r="S53" s="45"/>
    </row>
    <row r="54" s="82" customFormat="1" ht="14.25" hidden="1" spans="1:19">
      <c r="A54" s="33" t="s">
        <v>170</v>
      </c>
      <c r="B54" s="96" t="s">
        <v>63</v>
      </c>
      <c r="C54" s="96" t="s">
        <v>171</v>
      </c>
      <c r="D54" s="96" t="s">
        <v>194</v>
      </c>
      <c r="E54" s="96" t="s">
        <v>195</v>
      </c>
      <c r="F54" s="96">
        <v>3</v>
      </c>
      <c r="G54" s="96">
        <v>2025.4</v>
      </c>
      <c r="H54" s="96">
        <v>9</v>
      </c>
      <c r="I54" s="96">
        <v>3</v>
      </c>
      <c r="J54" s="115" t="s">
        <v>153</v>
      </c>
      <c r="K54" s="116" t="s">
        <v>202</v>
      </c>
      <c r="L54" s="116" t="s">
        <v>203</v>
      </c>
      <c r="M54" s="45" t="s">
        <v>44</v>
      </c>
      <c r="N54" s="45" t="s">
        <v>45</v>
      </c>
      <c r="O54" s="118" t="s">
        <v>72</v>
      </c>
      <c r="P54" s="118" t="s">
        <v>73</v>
      </c>
      <c r="Q54" s="43"/>
      <c r="R54" s="43"/>
      <c r="S54" s="45"/>
    </row>
    <row r="55" s="82" customFormat="1" ht="27" hidden="1" spans="1:19">
      <c r="A55" s="33" t="s">
        <v>170</v>
      </c>
      <c r="B55" s="96" t="s">
        <v>63</v>
      </c>
      <c r="C55" s="96" t="s">
        <v>171</v>
      </c>
      <c r="D55" s="96" t="s">
        <v>194</v>
      </c>
      <c r="E55" s="96" t="s">
        <v>195</v>
      </c>
      <c r="F55" s="96">
        <v>3</v>
      </c>
      <c r="G55" s="96">
        <v>2025.4</v>
      </c>
      <c r="H55" s="96">
        <v>9</v>
      </c>
      <c r="I55" s="96">
        <v>3</v>
      </c>
      <c r="J55" s="115" t="s">
        <v>153</v>
      </c>
      <c r="K55" s="116" t="s">
        <v>204</v>
      </c>
      <c r="L55" s="116" t="s">
        <v>205</v>
      </c>
      <c r="M55" s="45" t="s">
        <v>44</v>
      </c>
      <c r="N55" s="45" t="s">
        <v>45</v>
      </c>
      <c r="O55" s="118" t="s">
        <v>72</v>
      </c>
      <c r="P55" s="118" t="s">
        <v>73</v>
      </c>
      <c r="Q55" s="43"/>
      <c r="R55" s="43"/>
      <c r="S55" s="45"/>
    </row>
    <row r="56" s="82" customFormat="1" ht="14.25" hidden="1" spans="1:19">
      <c r="A56" s="33" t="s">
        <v>170</v>
      </c>
      <c r="B56" s="33" t="s">
        <v>63</v>
      </c>
      <c r="C56" s="33" t="s">
        <v>171</v>
      </c>
      <c r="D56" s="33" t="s">
        <v>206</v>
      </c>
      <c r="E56" s="33" t="s">
        <v>207</v>
      </c>
      <c r="F56" s="33">
        <v>2</v>
      </c>
      <c r="G56" s="33">
        <v>2025.4</v>
      </c>
      <c r="H56" s="33">
        <v>18</v>
      </c>
      <c r="I56" s="33">
        <v>2</v>
      </c>
      <c r="J56" s="115" t="s">
        <v>153</v>
      </c>
      <c r="K56" s="116" t="s">
        <v>208</v>
      </c>
      <c r="L56" s="119"/>
      <c r="M56" s="117" t="s">
        <v>36</v>
      </c>
      <c r="N56" s="45" t="s">
        <v>160</v>
      </c>
      <c r="O56" s="118" t="s">
        <v>72</v>
      </c>
      <c r="P56" s="118" t="s">
        <v>73</v>
      </c>
      <c r="Q56" s="43"/>
      <c r="R56" s="43"/>
      <c r="S56" s="45"/>
    </row>
    <row r="57" s="82" customFormat="1" ht="27" hidden="1" spans="1:19">
      <c r="A57" s="33" t="s">
        <v>170</v>
      </c>
      <c r="B57" s="33" t="s">
        <v>63</v>
      </c>
      <c r="C57" s="33" t="s">
        <v>171</v>
      </c>
      <c r="D57" s="33" t="s">
        <v>206</v>
      </c>
      <c r="E57" s="33" t="s">
        <v>207</v>
      </c>
      <c r="F57" s="33">
        <v>2</v>
      </c>
      <c r="G57" s="33">
        <v>2025.4</v>
      </c>
      <c r="H57" s="33">
        <v>18</v>
      </c>
      <c r="I57" s="33">
        <v>2</v>
      </c>
      <c r="J57" s="115" t="s">
        <v>153</v>
      </c>
      <c r="K57" s="116" t="s">
        <v>209</v>
      </c>
      <c r="L57" s="116" t="s">
        <v>210</v>
      </c>
      <c r="M57" s="45" t="s">
        <v>52</v>
      </c>
      <c r="N57" s="45" t="s">
        <v>187</v>
      </c>
      <c r="O57" s="118" t="s">
        <v>72</v>
      </c>
      <c r="P57" s="118" t="s">
        <v>73</v>
      </c>
      <c r="Q57" s="43"/>
      <c r="R57" s="43"/>
      <c r="S57" s="45"/>
    </row>
    <row r="58" s="82" customFormat="1" ht="27" hidden="1" spans="1:19">
      <c r="A58" s="33" t="s">
        <v>170</v>
      </c>
      <c r="B58" s="33" t="s">
        <v>63</v>
      </c>
      <c r="C58" s="33" t="s">
        <v>171</v>
      </c>
      <c r="D58" s="33" t="s">
        <v>206</v>
      </c>
      <c r="E58" s="33" t="s">
        <v>207</v>
      </c>
      <c r="F58" s="33">
        <v>2</v>
      </c>
      <c r="G58" s="33">
        <v>2025.4</v>
      </c>
      <c r="H58" s="33">
        <v>18</v>
      </c>
      <c r="I58" s="33">
        <v>2</v>
      </c>
      <c r="J58" s="115" t="s">
        <v>153</v>
      </c>
      <c r="K58" s="116" t="s">
        <v>211</v>
      </c>
      <c r="L58" s="116" t="s">
        <v>212</v>
      </c>
      <c r="M58" s="45" t="s">
        <v>52</v>
      </c>
      <c r="N58" s="45" t="s">
        <v>187</v>
      </c>
      <c r="O58" s="118" t="s">
        <v>72</v>
      </c>
      <c r="P58" s="118" t="s">
        <v>73</v>
      </c>
      <c r="Q58" s="43"/>
      <c r="R58" s="43"/>
      <c r="S58" s="45"/>
    </row>
    <row r="59" s="82" customFormat="1" ht="27" hidden="1" spans="1:19">
      <c r="A59" s="33" t="s">
        <v>170</v>
      </c>
      <c r="B59" s="33" t="s">
        <v>63</v>
      </c>
      <c r="C59" s="33" t="s">
        <v>171</v>
      </c>
      <c r="D59" s="33" t="s">
        <v>206</v>
      </c>
      <c r="E59" s="33" t="s">
        <v>207</v>
      </c>
      <c r="F59" s="33">
        <v>2</v>
      </c>
      <c r="G59" s="33">
        <v>2025.4</v>
      </c>
      <c r="H59" s="33">
        <v>18</v>
      </c>
      <c r="I59" s="33">
        <v>2</v>
      </c>
      <c r="J59" s="115" t="s">
        <v>153</v>
      </c>
      <c r="K59" s="116" t="s">
        <v>213</v>
      </c>
      <c r="L59" s="116" t="s">
        <v>214</v>
      </c>
      <c r="M59" s="45" t="s">
        <v>52</v>
      </c>
      <c r="N59" s="45" t="s">
        <v>187</v>
      </c>
      <c r="O59" s="118" t="s">
        <v>72</v>
      </c>
      <c r="P59" s="118" t="s">
        <v>73</v>
      </c>
      <c r="Q59" s="43"/>
      <c r="R59" s="43"/>
      <c r="S59" s="45"/>
    </row>
    <row r="60" s="82" customFormat="1" ht="27" hidden="1" spans="1:19">
      <c r="A60" s="33" t="s">
        <v>170</v>
      </c>
      <c r="B60" s="33" t="s">
        <v>63</v>
      </c>
      <c r="C60" s="33" t="s">
        <v>171</v>
      </c>
      <c r="D60" s="33" t="s">
        <v>206</v>
      </c>
      <c r="E60" s="33" t="s">
        <v>207</v>
      </c>
      <c r="F60" s="33">
        <v>2</v>
      </c>
      <c r="G60" s="33">
        <v>2025.4</v>
      </c>
      <c r="H60" s="33">
        <v>18</v>
      </c>
      <c r="I60" s="33">
        <v>2</v>
      </c>
      <c r="J60" s="115" t="s">
        <v>153</v>
      </c>
      <c r="K60" s="116" t="s">
        <v>215</v>
      </c>
      <c r="L60" s="116" t="s">
        <v>216</v>
      </c>
      <c r="M60" s="117" t="s">
        <v>36</v>
      </c>
      <c r="N60" s="45" t="s">
        <v>160</v>
      </c>
      <c r="O60" s="118" t="s">
        <v>72</v>
      </c>
      <c r="P60" s="118" t="s">
        <v>73</v>
      </c>
      <c r="Q60" s="43"/>
      <c r="R60" s="43"/>
      <c r="S60" s="45"/>
    </row>
    <row r="61" s="83" customFormat="1" ht="28.5" hidden="1" spans="1:19">
      <c r="A61" s="97" t="s">
        <v>217</v>
      </c>
      <c r="B61" s="98" t="s">
        <v>21</v>
      </c>
      <c r="C61" s="98" t="s">
        <v>218</v>
      </c>
      <c r="D61" s="98" t="s">
        <v>219</v>
      </c>
      <c r="E61" s="98" t="s">
        <v>220</v>
      </c>
      <c r="F61" s="98">
        <v>8</v>
      </c>
      <c r="G61" s="98" t="s">
        <v>221</v>
      </c>
      <c r="H61" s="98">
        <v>31</v>
      </c>
      <c r="I61" s="98">
        <v>8</v>
      </c>
      <c r="J61" s="98" t="s">
        <v>25</v>
      </c>
      <c r="K61" s="120" t="s">
        <v>222</v>
      </c>
      <c r="L61" s="121"/>
      <c r="M61" s="122"/>
      <c r="N61" s="122"/>
      <c r="O61" s="123"/>
      <c r="P61" s="124"/>
      <c r="Q61" s="26"/>
      <c r="R61" s="26"/>
      <c r="S61" s="27"/>
    </row>
    <row r="62" s="2" customFormat="1" ht="27" hidden="1" spans="1:19">
      <c r="A62" s="34" t="s">
        <v>223</v>
      </c>
      <c r="B62" s="45" t="s">
        <v>21</v>
      </c>
      <c r="C62" s="45" t="s">
        <v>224</v>
      </c>
      <c r="D62" s="45" t="s">
        <v>225</v>
      </c>
      <c r="E62" s="45" t="s">
        <v>226</v>
      </c>
      <c r="F62" s="45">
        <v>3</v>
      </c>
      <c r="G62" s="45" t="s">
        <v>227</v>
      </c>
      <c r="H62" s="45">
        <v>13</v>
      </c>
      <c r="I62" s="45">
        <v>3</v>
      </c>
      <c r="J62" s="125" t="s">
        <v>153</v>
      </c>
      <c r="K62" s="116" t="s">
        <v>228</v>
      </c>
      <c r="L62" s="116" t="s">
        <v>229</v>
      </c>
      <c r="M62" s="116" t="s">
        <v>230</v>
      </c>
      <c r="N62" s="116" t="s">
        <v>231</v>
      </c>
      <c r="O62" s="126" t="s">
        <v>72</v>
      </c>
      <c r="P62" s="126" t="s">
        <v>73</v>
      </c>
      <c r="Q62" s="43"/>
      <c r="R62" s="43"/>
      <c r="S62" s="45"/>
    </row>
    <row r="63" s="171" customFormat="1" ht="24" spans="1:19">
      <c r="A63" s="176" t="s">
        <v>223</v>
      </c>
      <c r="B63" s="178"/>
      <c r="C63" s="178"/>
      <c r="D63" s="178"/>
      <c r="E63" s="178"/>
      <c r="F63" s="178"/>
      <c r="G63" s="178"/>
      <c r="H63" s="178"/>
      <c r="I63" s="178"/>
      <c r="J63" s="183" t="s">
        <v>153</v>
      </c>
      <c r="K63" s="182" t="s">
        <v>232</v>
      </c>
      <c r="L63" s="182" t="s">
        <v>233</v>
      </c>
      <c r="M63" s="182" t="s">
        <v>28</v>
      </c>
      <c r="N63" s="182" t="s">
        <v>29</v>
      </c>
      <c r="O63" s="177" t="s">
        <v>72</v>
      </c>
      <c r="P63" s="177" t="s">
        <v>73</v>
      </c>
      <c r="Q63" s="179"/>
      <c r="R63" s="179"/>
      <c r="S63" s="178"/>
    </row>
    <row r="64" s="2" customFormat="1" ht="27" hidden="1" spans="1:19">
      <c r="A64" s="34" t="s">
        <v>223</v>
      </c>
      <c r="B64" s="85" t="s">
        <v>63</v>
      </c>
      <c r="C64" s="85" t="s">
        <v>234</v>
      </c>
      <c r="D64" s="85" t="s">
        <v>235</v>
      </c>
      <c r="E64" s="85" t="s">
        <v>236</v>
      </c>
      <c r="F64" s="85">
        <v>1</v>
      </c>
      <c r="G64" s="85">
        <v>2023.12</v>
      </c>
      <c r="H64" s="85">
        <v>5</v>
      </c>
      <c r="I64" s="85">
        <v>1</v>
      </c>
      <c r="J64" s="125" t="s">
        <v>153</v>
      </c>
      <c r="K64" s="116" t="s">
        <v>237</v>
      </c>
      <c r="L64" s="116" t="s">
        <v>238</v>
      </c>
      <c r="M64" s="116" t="s">
        <v>70</v>
      </c>
      <c r="N64" s="116" t="s">
        <v>71</v>
      </c>
      <c r="O64" s="126" t="s">
        <v>72</v>
      </c>
      <c r="P64" s="126" t="s">
        <v>73</v>
      </c>
      <c r="Q64" s="43"/>
      <c r="R64" s="43"/>
      <c r="S64" s="45"/>
    </row>
    <row r="65" s="2" customFormat="1" ht="54" hidden="1" spans="1:19">
      <c r="A65" s="34" t="s">
        <v>223</v>
      </c>
      <c r="B65" s="34" t="s">
        <v>63</v>
      </c>
      <c r="C65" s="34" t="s">
        <v>234</v>
      </c>
      <c r="D65" s="34" t="s">
        <v>239</v>
      </c>
      <c r="E65" s="34" t="s">
        <v>240</v>
      </c>
      <c r="F65" s="34">
        <v>3</v>
      </c>
      <c r="G65" s="34">
        <v>2024.12</v>
      </c>
      <c r="H65" s="34">
        <v>11</v>
      </c>
      <c r="I65" s="34">
        <v>3</v>
      </c>
      <c r="J65" s="125" t="s">
        <v>153</v>
      </c>
      <c r="K65" s="116" t="s">
        <v>419</v>
      </c>
      <c r="L65" s="116" t="s">
        <v>420</v>
      </c>
      <c r="M65" s="116" t="s">
        <v>70</v>
      </c>
      <c r="N65" s="116" t="s">
        <v>71</v>
      </c>
      <c r="O65" s="126" t="s">
        <v>72</v>
      </c>
      <c r="P65" s="126" t="s">
        <v>73</v>
      </c>
      <c r="Q65" s="43"/>
      <c r="R65" s="43"/>
      <c r="S65" s="45"/>
    </row>
    <row r="66" s="2" customFormat="1" ht="81" hidden="1" spans="1:19">
      <c r="A66" s="34" t="s">
        <v>223</v>
      </c>
      <c r="B66" s="34" t="s">
        <v>63</v>
      </c>
      <c r="C66" s="34" t="s">
        <v>234</v>
      </c>
      <c r="D66" s="34" t="s">
        <v>239</v>
      </c>
      <c r="E66" s="34" t="s">
        <v>240</v>
      </c>
      <c r="F66" s="34">
        <v>3</v>
      </c>
      <c r="G66" s="34">
        <v>2024.12</v>
      </c>
      <c r="H66" s="34">
        <v>11</v>
      </c>
      <c r="I66" s="34">
        <v>3</v>
      </c>
      <c r="J66" s="125" t="s">
        <v>153</v>
      </c>
      <c r="K66" s="116" t="s">
        <v>421</v>
      </c>
      <c r="L66" s="116" t="s">
        <v>422</v>
      </c>
      <c r="M66" s="116" t="s">
        <v>245</v>
      </c>
      <c r="N66" s="116" t="s">
        <v>246</v>
      </c>
      <c r="O66" s="126" t="s">
        <v>72</v>
      </c>
      <c r="P66" s="126" t="s">
        <v>73</v>
      </c>
      <c r="Q66" s="43"/>
      <c r="R66" s="43"/>
      <c r="S66" s="45"/>
    </row>
    <row r="67" s="2" customFormat="1" ht="27" hidden="1" spans="1:19">
      <c r="A67" s="34" t="s">
        <v>223</v>
      </c>
      <c r="B67" s="34" t="s">
        <v>63</v>
      </c>
      <c r="C67" s="34" t="s">
        <v>234</v>
      </c>
      <c r="D67" s="34" t="s">
        <v>239</v>
      </c>
      <c r="E67" s="34" t="s">
        <v>240</v>
      </c>
      <c r="F67" s="34">
        <v>3</v>
      </c>
      <c r="G67" s="34">
        <v>2024.12</v>
      </c>
      <c r="H67" s="34">
        <v>11</v>
      </c>
      <c r="I67" s="34">
        <v>3</v>
      </c>
      <c r="J67" s="125" t="s">
        <v>153</v>
      </c>
      <c r="K67" s="116" t="s">
        <v>247</v>
      </c>
      <c r="L67" s="116" t="s">
        <v>248</v>
      </c>
      <c r="M67" s="116" t="s">
        <v>245</v>
      </c>
      <c r="N67" s="116" t="s">
        <v>246</v>
      </c>
      <c r="O67" s="126" t="s">
        <v>72</v>
      </c>
      <c r="P67" s="126" t="s">
        <v>73</v>
      </c>
      <c r="Q67" s="43"/>
      <c r="R67" s="43"/>
      <c r="S67" s="45"/>
    </row>
    <row r="68" s="2" customFormat="1" ht="27" hidden="1" spans="1:19">
      <c r="A68" s="34" t="s">
        <v>223</v>
      </c>
      <c r="B68" s="34" t="s">
        <v>63</v>
      </c>
      <c r="C68" s="34" t="s">
        <v>234</v>
      </c>
      <c r="D68" s="34" t="s">
        <v>239</v>
      </c>
      <c r="E68" s="34" t="s">
        <v>240</v>
      </c>
      <c r="F68" s="34">
        <v>3</v>
      </c>
      <c r="G68" s="34">
        <v>2024.12</v>
      </c>
      <c r="H68" s="34">
        <v>11</v>
      </c>
      <c r="I68" s="34">
        <v>3</v>
      </c>
      <c r="J68" s="125" t="s">
        <v>153</v>
      </c>
      <c r="K68" s="116" t="s">
        <v>247</v>
      </c>
      <c r="L68" s="116" t="s">
        <v>248</v>
      </c>
      <c r="M68" s="116" t="s">
        <v>245</v>
      </c>
      <c r="N68" s="116" t="s">
        <v>246</v>
      </c>
      <c r="O68" s="126" t="s">
        <v>72</v>
      </c>
      <c r="P68" s="126" t="s">
        <v>73</v>
      </c>
      <c r="Q68" s="43"/>
      <c r="R68" s="43"/>
      <c r="S68" s="45"/>
    </row>
    <row r="69" s="2" customFormat="1" ht="54" hidden="1" spans="1:19">
      <c r="A69" s="34" t="s">
        <v>223</v>
      </c>
      <c r="B69" s="85" t="s">
        <v>63</v>
      </c>
      <c r="C69" s="85" t="s">
        <v>234</v>
      </c>
      <c r="D69" s="85" t="s">
        <v>249</v>
      </c>
      <c r="E69" s="163" t="s">
        <v>250</v>
      </c>
      <c r="F69" s="85">
        <v>1</v>
      </c>
      <c r="G69" s="85">
        <v>2025.2</v>
      </c>
      <c r="H69" s="85">
        <v>28</v>
      </c>
      <c r="I69" s="85">
        <v>1</v>
      </c>
      <c r="J69" s="125" t="s">
        <v>153</v>
      </c>
      <c r="K69" s="116" t="s">
        <v>251</v>
      </c>
      <c r="L69" s="116" t="s">
        <v>252</v>
      </c>
      <c r="M69" s="116" t="s">
        <v>245</v>
      </c>
      <c r="N69" s="116" t="s">
        <v>253</v>
      </c>
      <c r="O69" s="126" t="s">
        <v>72</v>
      </c>
      <c r="P69" s="126" t="s">
        <v>73</v>
      </c>
      <c r="Q69" s="43"/>
      <c r="R69" s="43"/>
      <c r="S69" s="45"/>
    </row>
    <row r="70" s="2" customFormat="1" ht="27" hidden="1" spans="1:19">
      <c r="A70" s="34" t="s">
        <v>254</v>
      </c>
      <c r="B70" s="130" t="s">
        <v>21</v>
      </c>
      <c r="C70" s="130" t="s">
        <v>255</v>
      </c>
      <c r="D70" s="130" t="s">
        <v>256</v>
      </c>
      <c r="E70" s="130" t="s">
        <v>257</v>
      </c>
      <c r="F70" s="130">
        <v>1</v>
      </c>
      <c r="G70" s="130">
        <v>2024.1</v>
      </c>
      <c r="H70" s="130">
        <v>25</v>
      </c>
      <c r="I70" s="130">
        <v>1</v>
      </c>
      <c r="J70" s="35" t="s">
        <v>25</v>
      </c>
      <c r="K70" s="116" t="s">
        <v>258</v>
      </c>
      <c r="L70" s="116" t="s">
        <v>259</v>
      </c>
      <c r="M70" s="117" t="s">
        <v>132</v>
      </c>
      <c r="N70" s="137" t="s">
        <v>260</v>
      </c>
      <c r="O70" s="41" t="s">
        <v>72</v>
      </c>
      <c r="P70" s="41" t="s">
        <v>73</v>
      </c>
      <c r="Q70" s="43"/>
      <c r="R70" s="43"/>
      <c r="S70" s="45"/>
    </row>
    <row r="71" s="2" customFormat="1" ht="27" hidden="1" spans="1:19">
      <c r="A71" s="34" t="s">
        <v>254</v>
      </c>
      <c r="B71" s="130" t="s">
        <v>21</v>
      </c>
      <c r="C71" s="130" t="s">
        <v>255</v>
      </c>
      <c r="D71" s="130" t="s">
        <v>256</v>
      </c>
      <c r="E71" s="130" t="s">
        <v>257</v>
      </c>
      <c r="F71" s="130">
        <v>1</v>
      </c>
      <c r="G71" s="130">
        <v>2024.1</v>
      </c>
      <c r="H71" s="130">
        <v>25</v>
      </c>
      <c r="I71" s="130">
        <v>1</v>
      </c>
      <c r="J71" s="35" t="s">
        <v>25</v>
      </c>
      <c r="K71" s="116" t="s">
        <v>261</v>
      </c>
      <c r="L71" s="116" t="s">
        <v>262</v>
      </c>
      <c r="M71" s="117" t="s">
        <v>132</v>
      </c>
      <c r="N71" s="137" t="s">
        <v>260</v>
      </c>
      <c r="O71" s="41" t="s">
        <v>72</v>
      </c>
      <c r="P71" s="41" t="s">
        <v>73</v>
      </c>
      <c r="Q71" s="43"/>
      <c r="R71" s="43"/>
      <c r="S71" s="45"/>
    </row>
    <row r="72" s="2" customFormat="1" ht="27" hidden="1" spans="1:19">
      <c r="A72" s="34" t="s">
        <v>254</v>
      </c>
      <c r="B72" s="130" t="s">
        <v>21</v>
      </c>
      <c r="C72" s="130" t="s">
        <v>255</v>
      </c>
      <c r="D72" s="130" t="s">
        <v>256</v>
      </c>
      <c r="E72" s="130" t="s">
        <v>257</v>
      </c>
      <c r="F72" s="130">
        <v>1</v>
      </c>
      <c r="G72" s="130">
        <v>2024.1</v>
      </c>
      <c r="H72" s="130">
        <v>25</v>
      </c>
      <c r="I72" s="130">
        <v>1</v>
      </c>
      <c r="J72" s="35" t="s">
        <v>25</v>
      </c>
      <c r="K72" s="116" t="s">
        <v>263</v>
      </c>
      <c r="L72" s="116" t="s">
        <v>264</v>
      </c>
      <c r="M72" s="117" t="s">
        <v>84</v>
      </c>
      <c r="N72" s="137" t="s">
        <v>84</v>
      </c>
      <c r="O72" s="41" t="s">
        <v>72</v>
      </c>
      <c r="P72" s="41" t="s">
        <v>73</v>
      </c>
      <c r="Q72" s="43"/>
      <c r="R72" s="43"/>
      <c r="S72" s="45"/>
    </row>
    <row r="73" s="2" customFormat="1" ht="27" hidden="1" spans="1:19">
      <c r="A73" s="34" t="s">
        <v>254</v>
      </c>
      <c r="B73" s="130" t="s">
        <v>21</v>
      </c>
      <c r="C73" s="130" t="s">
        <v>255</v>
      </c>
      <c r="D73" s="130" t="s">
        <v>256</v>
      </c>
      <c r="E73" s="130" t="s">
        <v>257</v>
      </c>
      <c r="F73" s="130">
        <v>1</v>
      </c>
      <c r="G73" s="130">
        <v>2024.1</v>
      </c>
      <c r="H73" s="130">
        <v>25</v>
      </c>
      <c r="I73" s="130">
        <v>1</v>
      </c>
      <c r="J73" s="35" t="s">
        <v>25</v>
      </c>
      <c r="K73" s="116" t="s">
        <v>265</v>
      </c>
      <c r="L73" s="116" t="s">
        <v>266</v>
      </c>
      <c r="M73" s="117" t="s">
        <v>84</v>
      </c>
      <c r="N73" s="137" t="s">
        <v>84</v>
      </c>
      <c r="O73" s="41" t="s">
        <v>72</v>
      </c>
      <c r="P73" s="41" t="s">
        <v>73</v>
      </c>
      <c r="Q73" s="43"/>
      <c r="R73" s="43"/>
      <c r="S73" s="45"/>
    </row>
    <row r="74" s="2" customFormat="1" ht="27" hidden="1" spans="1:19">
      <c r="A74" s="34" t="s">
        <v>254</v>
      </c>
      <c r="B74" s="130" t="s">
        <v>21</v>
      </c>
      <c r="C74" s="130" t="s">
        <v>255</v>
      </c>
      <c r="D74" s="130" t="s">
        <v>256</v>
      </c>
      <c r="E74" s="130" t="s">
        <v>257</v>
      </c>
      <c r="F74" s="130">
        <v>1</v>
      </c>
      <c r="G74" s="130">
        <v>2024.1</v>
      </c>
      <c r="H74" s="130">
        <v>25</v>
      </c>
      <c r="I74" s="130">
        <v>1</v>
      </c>
      <c r="J74" s="35" t="s">
        <v>25</v>
      </c>
      <c r="K74" s="116" t="s">
        <v>267</v>
      </c>
      <c r="L74" s="116" t="s">
        <v>268</v>
      </c>
      <c r="M74" s="117" t="s">
        <v>52</v>
      </c>
      <c r="N74" s="137" t="s">
        <v>269</v>
      </c>
      <c r="O74" s="41" t="s">
        <v>72</v>
      </c>
      <c r="P74" s="41" t="s">
        <v>73</v>
      </c>
      <c r="Q74" s="43"/>
      <c r="R74" s="43"/>
      <c r="S74" s="45"/>
    </row>
    <row r="75" s="2" customFormat="1" ht="27" hidden="1" spans="1:19">
      <c r="A75" s="34" t="s">
        <v>254</v>
      </c>
      <c r="B75" s="85" t="s">
        <v>63</v>
      </c>
      <c r="C75" s="85" t="s">
        <v>270</v>
      </c>
      <c r="D75" s="85" t="s">
        <v>271</v>
      </c>
      <c r="E75" s="164" t="s">
        <v>272</v>
      </c>
      <c r="F75" s="85">
        <v>1</v>
      </c>
      <c r="G75" s="85">
        <v>2023.8</v>
      </c>
      <c r="H75" s="85">
        <v>30</v>
      </c>
      <c r="I75" s="85">
        <v>1</v>
      </c>
      <c r="J75" s="35" t="s">
        <v>153</v>
      </c>
      <c r="K75" s="37" t="s">
        <v>273</v>
      </c>
      <c r="L75" s="116" t="s">
        <v>274</v>
      </c>
      <c r="M75" s="117" t="s">
        <v>70</v>
      </c>
      <c r="N75" s="40" t="s">
        <v>71</v>
      </c>
      <c r="O75" s="41" t="s">
        <v>72</v>
      </c>
      <c r="P75" s="41" t="s">
        <v>73</v>
      </c>
      <c r="Q75" s="43"/>
      <c r="R75" s="43"/>
      <c r="S75" s="45"/>
    </row>
    <row r="76" s="2" customFormat="1" hidden="1" spans="1:19">
      <c r="A76" s="34" t="s">
        <v>254</v>
      </c>
      <c r="B76" s="85" t="s">
        <v>63</v>
      </c>
      <c r="C76" s="85" t="s">
        <v>275</v>
      </c>
      <c r="D76" s="85" t="s">
        <v>276</v>
      </c>
      <c r="E76" s="181" t="s">
        <v>277</v>
      </c>
      <c r="F76" s="85">
        <v>1</v>
      </c>
      <c r="G76" s="85">
        <v>2024.1</v>
      </c>
      <c r="H76" s="85">
        <v>4</v>
      </c>
      <c r="I76" s="85">
        <v>1</v>
      </c>
      <c r="J76" s="35" t="s">
        <v>278</v>
      </c>
      <c r="K76" s="116" t="s">
        <v>279</v>
      </c>
      <c r="L76" s="116" t="s">
        <v>280</v>
      </c>
      <c r="M76" s="117" t="s">
        <v>52</v>
      </c>
      <c r="N76" s="137" t="s">
        <v>187</v>
      </c>
      <c r="O76" s="41" t="s">
        <v>72</v>
      </c>
      <c r="P76" s="41" t="s">
        <v>73</v>
      </c>
      <c r="Q76" s="43"/>
      <c r="R76" s="43"/>
      <c r="S76" s="45"/>
    </row>
    <row r="77" s="171" customFormat="1" ht="12" spans="1:19">
      <c r="A77" s="176" t="s">
        <v>254</v>
      </c>
      <c r="B77" s="185" t="s">
        <v>21</v>
      </c>
      <c r="C77" s="185" t="s">
        <v>281</v>
      </c>
      <c r="D77" s="185" t="s">
        <v>282</v>
      </c>
      <c r="E77" s="185" t="s">
        <v>283</v>
      </c>
      <c r="F77" s="185">
        <v>6</v>
      </c>
      <c r="G77" s="185">
        <v>2025.4</v>
      </c>
      <c r="H77" s="185">
        <v>22</v>
      </c>
      <c r="I77" s="185">
        <v>6</v>
      </c>
      <c r="J77" s="185" t="s">
        <v>25</v>
      </c>
      <c r="K77" s="187" t="s">
        <v>284</v>
      </c>
      <c r="L77" s="187" t="s">
        <v>285</v>
      </c>
      <c r="M77" s="187" t="s">
        <v>28</v>
      </c>
      <c r="N77" s="188" t="s">
        <v>176</v>
      </c>
      <c r="O77" s="186" t="s">
        <v>72</v>
      </c>
      <c r="P77" s="186" t="s">
        <v>73</v>
      </c>
      <c r="Q77" s="179"/>
      <c r="R77" s="179"/>
      <c r="S77" s="178"/>
    </row>
    <row r="78" s="2" customFormat="1" hidden="1" spans="1:19">
      <c r="A78" s="34" t="s">
        <v>254</v>
      </c>
      <c r="B78" s="35" t="s">
        <v>21</v>
      </c>
      <c r="C78" s="35" t="s">
        <v>281</v>
      </c>
      <c r="D78" s="35" t="s">
        <v>282</v>
      </c>
      <c r="E78" s="35" t="s">
        <v>283</v>
      </c>
      <c r="F78" s="35">
        <v>6</v>
      </c>
      <c r="G78" s="35">
        <v>2025.4</v>
      </c>
      <c r="H78" s="35">
        <v>22</v>
      </c>
      <c r="I78" s="35">
        <v>6</v>
      </c>
      <c r="J78" s="35" t="s">
        <v>25</v>
      </c>
      <c r="K78" s="39" t="s">
        <v>286</v>
      </c>
      <c r="L78" s="39" t="s">
        <v>287</v>
      </c>
      <c r="M78" s="39" t="s">
        <v>52</v>
      </c>
      <c r="N78" s="40" t="s">
        <v>53</v>
      </c>
      <c r="O78" s="41" t="s">
        <v>72</v>
      </c>
      <c r="P78" s="41" t="s">
        <v>73</v>
      </c>
      <c r="Q78" s="43"/>
      <c r="R78" s="43"/>
      <c r="S78" s="45"/>
    </row>
    <row r="79" s="2" customFormat="1" hidden="1" spans="1:19">
      <c r="A79" s="34" t="s">
        <v>254</v>
      </c>
      <c r="B79" s="35" t="s">
        <v>21</v>
      </c>
      <c r="C79" s="35" t="s">
        <v>281</v>
      </c>
      <c r="D79" s="35" t="s">
        <v>282</v>
      </c>
      <c r="E79" s="35" t="s">
        <v>283</v>
      </c>
      <c r="F79" s="35">
        <v>6</v>
      </c>
      <c r="G79" s="35">
        <v>2025.4</v>
      </c>
      <c r="H79" s="35">
        <v>22</v>
      </c>
      <c r="I79" s="35">
        <v>6</v>
      </c>
      <c r="J79" s="35" t="s">
        <v>25</v>
      </c>
      <c r="K79" s="39" t="s">
        <v>288</v>
      </c>
      <c r="L79" s="39" t="s">
        <v>289</v>
      </c>
      <c r="M79" s="39" t="s">
        <v>70</v>
      </c>
      <c r="N79" s="40" t="s">
        <v>71</v>
      </c>
      <c r="O79" s="41" t="s">
        <v>72</v>
      </c>
      <c r="P79" s="41" t="s">
        <v>73</v>
      </c>
      <c r="Q79" s="43"/>
      <c r="R79" s="43"/>
      <c r="S79" s="45"/>
    </row>
    <row r="80" s="2" customFormat="1" ht="27" hidden="1" spans="1:19">
      <c r="A80" s="34" t="s">
        <v>254</v>
      </c>
      <c r="B80" s="35" t="s">
        <v>21</v>
      </c>
      <c r="C80" s="35" t="s">
        <v>281</v>
      </c>
      <c r="D80" s="35" t="s">
        <v>282</v>
      </c>
      <c r="E80" s="35" t="s">
        <v>283</v>
      </c>
      <c r="F80" s="35">
        <v>6</v>
      </c>
      <c r="G80" s="35">
        <v>2025.4</v>
      </c>
      <c r="H80" s="35">
        <v>22</v>
      </c>
      <c r="I80" s="35">
        <v>6</v>
      </c>
      <c r="J80" s="35" t="s">
        <v>25</v>
      </c>
      <c r="K80" s="39" t="s">
        <v>290</v>
      </c>
      <c r="L80" s="39" t="s">
        <v>291</v>
      </c>
      <c r="M80" s="39" t="s">
        <v>36</v>
      </c>
      <c r="N80" s="40" t="s">
        <v>160</v>
      </c>
      <c r="O80" s="41" t="s">
        <v>72</v>
      </c>
      <c r="P80" s="41" t="s">
        <v>73</v>
      </c>
      <c r="Q80" s="43"/>
      <c r="R80" s="43"/>
      <c r="S80" s="45"/>
    </row>
    <row r="81" s="171" customFormat="1" ht="12" spans="1:19">
      <c r="A81" s="176" t="s">
        <v>254</v>
      </c>
      <c r="B81" s="185" t="s">
        <v>21</v>
      </c>
      <c r="C81" s="185" t="s">
        <v>281</v>
      </c>
      <c r="D81" s="185" t="s">
        <v>282</v>
      </c>
      <c r="E81" s="185" t="s">
        <v>283</v>
      </c>
      <c r="F81" s="185">
        <v>6</v>
      </c>
      <c r="G81" s="185">
        <v>2025.4</v>
      </c>
      <c r="H81" s="185">
        <v>22</v>
      </c>
      <c r="I81" s="185">
        <v>6</v>
      </c>
      <c r="J81" s="185" t="s">
        <v>25</v>
      </c>
      <c r="K81" s="189" t="s">
        <v>292</v>
      </c>
      <c r="L81" s="189" t="s">
        <v>293</v>
      </c>
      <c r="M81" s="189" t="s">
        <v>28</v>
      </c>
      <c r="N81" s="190" t="s">
        <v>29</v>
      </c>
      <c r="O81" s="186" t="s">
        <v>72</v>
      </c>
      <c r="P81" s="186" t="s">
        <v>73</v>
      </c>
      <c r="Q81" s="179"/>
      <c r="R81" s="179"/>
      <c r="S81" s="178"/>
    </row>
    <row r="82" s="171" customFormat="1" ht="12" spans="1:19">
      <c r="A82" s="176" t="s">
        <v>254</v>
      </c>
      <c r="B82" s="185" t="s">
        <v>21</v>
      </c>
      <c r="C82" s="185" t="s">
        <v>281</v>
      </c>
      <c r="D82" s="185" t="s">
        <v>282</v>
      </c>
      <c r="E82" s="185" t="s">
        <v>283</v>
      </c>
      <c r="F82" s="185">
        <v>6</v>
      </c>
      <c r="G82" s="185">
        <v>2025.4</v>
      </c>
      <c r="H82" s="185">
        <v>22</v>
      </c>
      <c r="I82" s="185">
        <v>6</v>
      </c>
      <c r="J82" s="185" t="s">
        <v>25</v>
      </c>
      <c r="K82" s="189" t="s">
        <v>294</v>
      </c>
      <c r="L82" s="189" t="s">
        <v>295</v>
      </c>
      <c r="M82" s="189" t="s">
        <v>28</v>
      </c>
      <c r="N82" s="190" t="s">
        <v>29</v>
      </c>
      <c r="O82" s="186" t="s">
        <v>72</v>
      </c>
      <c r="P82" s="186" t="s">
        <v>73</v>
      </c>
      <c r="Q82" s="179"/>
      <c r="R82" s="179"/>
      <c r="S82" s="178"/>
    </row>
    <row r="83" s="2" customFormat="1" hidden="1" spans="1:19">
      <c r="A83" s="34" t="s">
        <v>254</v>
      </c>
      <c r="B83" s="35" t="s">
        <v>21</v>
      </c>
      <c r="C83" s="35" t="s">
        <v>281</v>
      </c>
      <c r="D83" s="35" t="s">
        <v>282</v>
      </c>
      <c r="E83" s="35" t="s">
        <v>283</v>
      </c>
      <c r="F83" s="35">
        <v>6</v>
      </c>
      <c r="G83" s="35">
        <v>2025.4</v>
      </c>
      <c r="H83" s="35">
        <v>22</v>
      </c>
      <c r="I83" s="35">
        <v>6</v>
      </c>
      <c r="J83" s="35" t="s">
        <v>25</v>
      </c>
      <c r="K83" s="39" t="s">
        <v>296</v>
      </c>
      <c r="L83" s="39" t="s">
        <v>297</v>
      </c>
      <c r="M83" s="39" t="s">
        <v>298</v>
      </c>
      <c r="N83" s="40" t="s">
        <v>299</v>
      </c>
      <c r="O83" s="41" t="s">
        <v>72</v>
      </c>
      <c r="P83" s="41" t="s">
        <v>73</v>
      </c>
      <c r="Q83" s="43"/>
      <c r="R83" s="43"/>
      <c r="S83" s="45"/>
    </row>
    <row r="84" s="2" customFormat="1" ht="27" hidden="1" spans="1:19">
      <c r="A84" s="34" t="s">
        <v>254</v>
      </c>
      <c r="B84" s="35" t="s">
        <v>21</v>
      </c>
      <c r="C84" s="35" t="s">
        <v>281</v>
      </c>
      <c r="D84" s="35" t="s">
        <v>282</v>
      </c>
      <c r="E84" s="35" t="s">
        <v>283</v>
      </c>
      <c r="F84" s="35">
        <v>6</v>
      </c>
      <c r="G84" s="35">
        <v>2025.4</v>
      </c>
      <c r="H84" s="35">
        <v>22</v>
      </c>
      <c r="I84" s="35">
        <v>6</v>
      </c>
      <c r="J84" s="35" t="s">
        <v>25</v>
      </c>
      <c r="K84" s="39" t="s">
        <v>300</v>
      </c>
      <c r="L84" s="39" t="s">
        <v>301</v>
      </c>
      <c r="M84" s="39" t="s">
        <v>36</v>
      </c>
      <c r="N84" s="40" t="s">
        <v>160</v>
      </c>
      <c r="O84" s="41" t="s">
        <v>72</v>
      </c>
      <c r="P84" s="41" t="s">
        <v>73</v>
      </c>
      <c r="Q84" s="43"/>
      <c r="R84" s="43"/>
      <c r="S84" s="45"/>
    </row>
    <row r="85" s="2" customFormat="1" ht="27" hidden="1" spans="1:19">
      <c r="A85" s="34" t="s">
        <v>254</v>
      </c>
      <c r="B85" s="35" t="s">
        <v>21</v>
      </c>
      <c r="C85" s="35" t="s">
        <v>281</v>
      </c>
      <c r="D85" s="35" t="s">
        <v>282</v>
      </c>
      <c r="E85" s="35" t="s">
        <v>283</v>
      </c>
      <c r="F85" s="35">
        <v>6</v>
      </c>
      <c r="G85" s="35">
        <v>2025.4</v>
      </c>
      <c r="H85" s="35">
        <v>22</v>
      </c>
      <c r="I85" s="35">
        <v>6</v>
      </c>
      <c r="J85" s="35" t="s">
        <v>25</v>
      </c>
      <c r="K85" s="39" t="s">
        <v>302</v>
      </c>
      <c r="L85" s="39" t="s">
        <v>303</v>
      </c>
      <c r="M85" s="39" t="s">
        <v>36</v>
      </c>
      <c r="N85" s="40" t="s">
        <v>160</v>
      </c>
      <c r="O85" s="41" t="s">
        <v>72</v>
      </c>
      <c r="P85" s="41" t="s">
        <v>73</v>
      </c>
      <c r="Q85" s="43"/>
      <c r="R85" s="43"/>
      <c r="S85" s="45"/>
    </row>
    <row r="86" s="2" customFormat="1" ht="27" hidden="1" spans="1:19">
      <c r="A86" s="43" t="s">
        <v>304</v>
      </c>
      <c r="B86" s="133" t="s">
        <v>305</v>
      </c>
      <c r="C86" s="133"/>
      <c r="D86" s="133"/>
      <c r="E86" s="133"/>
      <c r="F86" s="133"/>
      <c r="G86" s="133"/>
      <c r="H86" s="133"/>
      <c r="I86" s="133"/>
      <c r="J86" s="133"/>
      <c r="K86" s="146" t="s">
        <v>306</v>
      </c>
      <c r="L86" s="147" t="s">
        <v>307</v>
      </c>
      <c r="M86" s="106" t="s">
        <v>308</v>
      </c>
      <c r="N86" s="106" t="s">
        <v>309</v>
      </c>
      <c r="O86" s="128" t="s">
        <v>310</v>
      </c>
      <c r="P86" s="128"/>
      <c r="Q86" s="128"/>
      <c r="R86" s="128"/>
      <c r="S86" s="106"/>
    </row>
    <row r="87" s="2" customFormat="1" ht="27" hidden="1" spans="1:19">
      <c r="A87" s="43" t="s">
        <v>311</v>
      </c>
      <c r="B87" s="133" t="s">
        <v>312</v>
      </c>
      <c r="C87" s="133"/>
      <c r="D87" s="133"/>
      <c r="E87" s="133"/>
      <c r="F87" s="133"/>
      <c r="G87" s="133"/>
      <c r="H87" s="133"/>
      <c r="I87" s="133"/>
      <c r="J87" s="133"/>
      <c r="K87" s="146"/>
      <c r="L87" s="147"/>
      <c r="M87" s="106"/>
      <c r="N87" s="106"/>
      <c r="O87" s="129"/>
      <c r="P87" s="129"/>
      <c r="Q87" s="128"/>
      <c r="R87" s="128"/>
      <c r="S87" s="106"/>
    </row>
    <row r="88" s="2" customFormat="1" ht="27" hidden="1" spans="1:19">
      <c r="A88" s="130" t="s">
        <v>313</v>
      </c>
      <c r="B88" s="130" t="s">
        <v>21</v>
      </c>
      <c r="C88" s="130" t="s">
        <v>314</v>
      </c>
      <c r="D88" s="130" t="s">
        <v>315</v>
      </c>
      <c r="E88" s="130" t="s">
        <v>316</v>
      </c>
      <c r="F88" s="130">
        <v>2</v>
      </c>
      <c r="G88" s="130">
        <v>2024.7</v>
      </c>
      <c r="H88" s="130">
        <v>30</v>
      </c>
      <c r="I88" s="130">
        <v>2</v>
      </c>
      <c r="J88" s="82" t="s">
        <v>67</v>
      </c>
      <c r="K88" s="148" t="s">
        <v>317</v>
      </c>
      <c r="L88" s="116" t="s">
        <v>318</v>
      </c>
      <c r="M88" s="116" t="s">
        <v>52</v>
      </c>
      <c r="N88" s="116" t="s">
        <v>187</v>
      </c>
      <c r="O88" s="149" t="s">
        <v>72</v>
      </c>
      <c r="P88" s="149" t="s">
        <v>73</v>
      </c>
      <c r="Q88" s="43"/>
      <c r="R88" s="43"/>
      <c r="S88" s="45"/>
    </row>
    <row r="89" s="2" customFormat="1" ht="48" hidden="1" customHeight="1" spans="1:19">
      <c r="A89" s="130" t="s">
        <v>313</v>
      </c>
      <c r="B89" s="130" t="s">
        <v>21</v>
      </c>
      <c r="C89" s="130" t="s">
        <v>314</v>
      </c>
      <c r="D89" s="130" t="s">
        <v>315</v>
      </c>
      <c r="E89" s="130" t="s">
        <v>316</v>
      </c>
      <c r="F89" s="130">
        <v>2</v>
      </c>
      <c r="G89" s="130">
        <v>2024.7</v>
      </c>
      <c r="H89" s="130">
        <v>30</v>
      </c>
      <c r="I89" s="130">
        <v>2</v>
      </c>
      <c r="J89" s="82" t="s">
        <v>67</v>
      </c>
      <c r="K89" s="148" t="s">
        <v>317</v>
      </c>
      <c r="L89" s="116" t="s">
        <v>319</v>
      </c>
      <c r="M89" s="116" t="s">
        <v>36</v>
      </c>
      <c r="N89" s="116" t="s">
        <v>160</v>
      </c>
      <c r="O89" s="149" t="s">
        <v>72</v>
      </c>
      <c r="P89" s="149" t="s">
        <v>73</v>
      </c>
      <c r="Q89" s="43"/>
      <c r="R89" s="43"/>
      <c r="S89" s="45"/>
    </row>
    <row r="90" s="2" customFormat="1" ht="40.5" hidden="1" spans="1:19">
      <c r="A90" s="130" t="s">
        <v>313</v>
      </c>
      <c r="B90" s="34" t="s">
        <v>21</v>
      </c>
      <c r="C90" s="34" t="s">
        <v>314</v>
      </c>
      <c r="D90" s="34" t="s">
        <v>320</v>
      </c>
      <c r="E90" s="34" t="s">
        <v>321</v>
      </c>
      <c r="F90" s="34">
        <v>2</v>
      </c>
      <c r="G90" s="34">
        <v>2023.7</v>
      </c>
      <c r="H90" s="34">
        <v>14</v>
      </c>
      <c r="I90" s="34">
        <v>2</v>
      </c>
      <c r="J90" s="82" t="s">
        <v>67</v>
      </c>
      <c r="K90" s="166" t="s">
        <v>322</v>
      </c>
      <c r="L90" s="116" t="s">
        <v>423</v>
      </c>
      <c r="M90" s="116" t="s">
        <v>44</v>
      </c>
      <c r="N90" s="116" t="s">
        <v>45</v>
      </c>
      <c r="O90" s="149" t="s">
        <v>72</v>
      </c>
      <c r="P90" s="149" t="s">
        <v>73</v>
      </c>
      <c r="Q90" s="43"/>
      <c r="R90" s="43"/>
      <c r="S90" s="45"/>
    </row>
    <row r="91" s="2" customFormat="1" ht="40.5" hidden="1" spans="1:19">
      <c r="A91" s="130" t="s">
        <v>313</v>
      </c>
      <c r="B91" s="34" t="s">
        <v>21</v>
      </c>
      <c r="C91" s="34" t="s">
        <v>314</v>
      </c>
      <c r="D91" s="34" t="s">
        <v>320</v>
      </c>
      <c r="E91" s="34" t="s">
        <v>321</v>
      </c>
      <c r="F91" s="34">
        <v>2</v>
      </c>
      <c r="G91" s="34">
        <v>2023.7</v>
      </c>
      <c r="H91" s="34">
        <v>14</v>
      </c>
      <c r="I91" s="34">
        <v>2</v>
      </c>
      <c r="J91" s="82" t="s">
        <v>67</v>
      </c>
      <c r="K91" s="166" t="s">
        <v>324</v>
      </c>
      <c r="L91" s="116" t="s">
        <v>325</v>
      </c>
      <c r="M91" s="116" t="s">
        <v>70</v>
      </c>
      <c r="N91" s="116" t="s">
        <v>326</v>
      </c>
      <c r="O91" s="149" t="s">
        <v>72</v>
      </c>
      <c r="P91" s="149" t="s">
        <v>73</v>
      </c>
      <c r="Q91" s="43"/>
      <c r="R91" s="43"/>
      <c r="S91" s="45"/>
    </row>
    <row r="92" s="2" customFormat="1" ht="54" hidden="1" spans="1:19">
      <c r="A92" s="130" t="s">
        <v>313</v>
      </c>
      <c r="B92" s="34" t="s">
        <v>21</v>
      </c>
      <c r="C92" s="34" t="s">
        <v>327</v>
      </c>
      <c r="D92" s="34" t="s">
        <v>328</v>
      </c>
      <c r="E92" s="34" t="s">
        <v>329</v>
      </c>
      <c r="F92" s="34">
        <v>10</v>
      </c>
      <c r="G92" s="34">
        <v>2025.4</v>
      </c>
      <c r="H92" s="34">
        <v>30</v>
      </c>
      <c r="I92" s="34">
        <v>10</v>
      </c>
      <c r="J92" s="35" t="s">
        <v>25</v>
      </c>
      <c r="K92" s="116" t="s">
        <v>330</v>
      </c>
      <c r="L92" s="116" t="s">
        <v>331</v>
      </c>
      <c r="M92" s="116" t="s">
        <v>332</v>
      </c>
      <c r="N92" s="116" t="s">
        <v>98</v>
      </c>
      <c r="O92" s="149" t="s">
        <v>72</v>
      </c>
      <c r="P92" s="149" t="s">
        <v>73</v>
      </c>
      <c r="Q92" s="43"/>
      <c r="R92" s="43"/>
      <c r="S92" s="45"/>
    </row>
    <row r="93" s="2" customFormat="1" ht="54" hidden="1" spans="1:19">
      <c r="A93" s="130" t="s">
        <v>313</v>
      </c>
      <c r="B93" s="34" t="s">
        <v>21</v>
      </c>
      <c r="C93" s="34" t="s">
        <v>327</v>
      </c>
      <c r="D93" s="34" t="s">
        <v>328</v>
      </c>
      <c r="E93" s="34" t="s">
        <v>329</v>
      </c>
      <c r="F93" s="34">
        <v>10</v>
      </c>
      <c r="G93" s="34">
        <v>2025.4</v>
      </c>
      <c r="H93" s="34">
        <v>30</v>
      </c>
      <c r="I93" s="34">
        <v>10</v>
      </c>
      <c r="J93" s="35" t="s">
        <v>25</v>
      </c>
      <c r="K93" s="116" t="s">
        <v>330</v>
      </c>
      <c r="L93" s="116" t="s">
        <v>333</v>
      </c>
      <c r="M93" s="116" t="s">
        <v>332</v>
      </c>
      <c r="N93" s="116" t="s">
        <v>98</v>
      </c>
      <c r="O93" s="149" t="s">
        <v>72</v>
      </c>
      <c r="P93" s="149" t="s">
        <v>73</v>
      </c>
      <c r="Q93" s="43"/>
      <c r="R93" s="43"/>
      <c r="S93" s="45"/>
    </row>
    <row r="94" s="2" customFormat="1" ht="54" hidden="1" spans="1:19">
      <c r="A94" s="130" t="s">
        <v>313</v>
      </c>
      <c r="B94" s="34" t="s">
        <v>21</v>
      </c>
      <c r="C94" s="34" t="s">
        <v>327</v>
      </c>
      <c r="D94" s="34" t="s">
        <v>328</v>
      </c>
      <c r="E94" s="34" t="s">
        <v>329</v>
      </c>
      <c r="F94" s="34">
        <v>10</v>
      </c>
      <c r="G94" s="34">
        <v>2025.4</v>
      </c>
      <c r="H94" s="34">
        <v>30</v>
      </c>
      <c r="I94" s="34">
        <v>10</v>
      </c>
      <c r="J94" s="35" t="s">
        <v>25</v>
      </c>
      <c r="K94" s="116" t="s">
        <v>330</v>
      </c>
      <c r="L94" s="116" t="s">
        <v>334</v>
      </c>
      <c r="M94" s="116" t="s">
        <v>332</v>
      </c>
      <c r="N94" s="116" t="s">
        <v>98</v>
      </c>
      <c r="O94" s="149" t="s">
        <v>72</v>
      </c>
      <c r="P94" s="149" t="s">
        <v>73</v>
      </c>
      <c r="Q94" s="43"/>
      <c r="R94" s="43"/>
      <c r="S94" s="45"/>
    </row>
    <row r="95" s="2" customFormat="1" ht="54" hidden="1" spans="1:19">
      <c r="A95" s="130" t="s">
        <v>313</v>
      </c>
      <c r="B95" s="34" t="s">
        <v>21</v>
      </c>
      <c r="C95" s="34" t="s">
        <v>327</v>
      </c>
      <c r="D95" s="34" t="s">
        <v>328</v>
      </c>
      <c r="E95" s="34" t="s">
        <v>329</v>
      </c>
      <c r="F95" s="34">
        <v>10</v>
      </c>
      <c r="G95" s="34">
        <v>2025.4</v>
      </c>
      <c r="H95" s="34">
        <v>30</v>
      </c>
      <c r="I95" s="34">
        <v>10</v>
      </c>
      <c r="J95" s="35" t="s">
        <v>25</v>
      </c>
      <c r="K95" s="127" t="s">
        <v>330</v>
      </c>
      <c r="L95" s="116" t="s">
        <v>334</v>
      </c>
      <c r="M95" s="116" t="s">
        <v>332</v>
      </c>
      <c r="N95" s="116" t="s">
        <v>98</v>
      </c>
      <c r="O95" s="149" t="s">
        <v>72</v>
      </c>
      <c r="P95" s="149" t="s">
        <v>73</v>
      </c>
      <c r="Q95" s="43"/>
      <c r="R95" s="43"/>
      <c r="S95" s="45"/>
    </row>
    <row r="96" s="2" customFormat="1" ht="18" hidden="1" customHeight="1" spans="1:19">
      <c r="A96" s="85" t="s">
        <v>335</v>
      </c>
      <c r="B96" s="45" t="s">
        <v>63</v>
      </c>
      <c r="C96" s="45" t="s">
        <v>270</v>
      </c>
      <c r="D96" s="45" t="s">
        <v>336</v>
      </c>
      <c r="E96" s="45" t="s">
        <v>337</v>
      </c>
      <c r="F96" s="45">
        <v>1</v>
      </c>
      <c r="G96" s="45">
        <v>2024.3</v>
      </c>
      <c r="H96" s="45">
        <v>22</v>
      </c>
      <c r="I96" s="45">
        <v>1</v>
      </c>
      <c r="J96" s="85" t="s">
        <v>153</v>
      </c>
      <c r="K96" s="153" t="s">
        <v>338</v>
      </c>
      <c r="L96" s="155" t="s">
        <v>339</v>
      </c>
      <c r="M96" s="110" t="s">
        <v>70</v>
      </c>
      <c r="N96" s="167" t="s">
        <v>71</v>
      </c>
      <c r="O96" s="43" t="s">
        <v>340</v>
      </c>
      <c r="P96" s="43" t="s">
        <v>341</v>
      </c>
      <c r="Q96" s="170"/>
      <c r="R96" s="44"/>
      <c r="S96" s="99"/>
    </row>
    <row r="97" s="2" customFormat="1" ht="27" hidden="1" spans="1:19">
      <c r="A97" s="85" t="s">
        <v>335</v>
      </c>
      <c r="B97" s="45"/>
      <c r="C97" s="45"/>
      <c r="D97" s="45"/>
      <c r="E97" s="45"/>
      <c r="F97" s="45"/>
      <c r="G97" s="45"/>
      <c r="H97" s="45"/>
      <c r="I97" s="45"/>
      <c r="J97" s="85" t="s">
        <v>153</v>
      </c>
      <c r="K97" s="153" t="s">
        <v>342</v>
      </c>
      <c r="L97" s="168" t="s">
        <v>343</v>
      </c>
      <c r="M97" s="153" t="s">
        <v>84</v>
      </c>
      <c r="N97" s="169" t="s">
        <v>84</v>
      </c>
      <c r="O97" s="43"/>
      <c r="P97" s="43"/>
      <c r="S97" s="4"/>
    </row>
    <row r="98" s="84" customFormat="1" hidden="1" spans="1:16">
      <c r="A98" s="85" t="s">
        <v>335</v>
      </c>
      <c r="B98" s="45" t="s">
        <v>63</v>
      </c>
      <c r="C98" s="45" t="s">
        <v>344</v>
      </c>
      <c r="D98" s="45" t="s">
        <v>206</v>
      </c>
      <c r="E98" s="90" t="s">
        <v>207</v>
      </c>
      <c r="F98" s="45">
        <v>2</v>
      </c>
      <c r="G98" s="45">
        <v>2025.4</v>
      </c>
      <c r="H98" s="45">
        <v>18</v>
      </c>
      <c r="I98" s="45">
        <v>2</v>
      </c>
      <c r="J98" s="85" t="s">
        <v>153</v>
      </c>
      <c r="K98" s="45" t="s">
        <v>345</v>
      </c>
      <c r="L98" s="84" t="s">
        <v>346</v>
      </c>
      <c r="M98" s="84" t="s">
        <v>52</v>
      </c>
      <c r="N98" s="84" t="s">
        <v>187</v>
      </c>
      <c r="O98" s="45" t="s">
        <v>347</v>
      </c>
      <c r="P98" s="45" t="s">
        <v>157</v>
      </c>
    </row>
    <row r="99" s="84" customFormat="1" ht="27" hidden="1" spans="1:16">
      <c r="A99" s="85" t="s">
        <v>335</v>
      </c>
      <c r="B99" s="85" t="s">
        <v>21</v>
      </c>
      <c r="C99" s="85" t="s">
        <v>348</v>
      </c>
      <c r="D99" s="85" t="s">
        <v>349</v>
      </c>
      <c r="E99" s="85" t="s">
        <v>350</v>
      </c>
      <c r="F99" s="85">
        <v>7</v>
      </c>
      <c r="G99" s="85">
        <v>2024.11</v>
      </c>
      <c r="H99" s="85">
        <v>20</v>
      </c>
      <c r="I99" s="85">
        <v>7</v>
      </c>
      <c r="J99" s="85" t="s">
        <v>153</v>
      </c>
      <c r="K99" s="153" t="s">
        <v>351</v>
      </c>
      <c r="L99" s="148" t="s">
        <v>352</v>
      </c>
      <c r="M99" s="37" t="s">
        <v>353</v>
      </c>
      <c r="N99" s="154" t="s">
        <v>354</v>
      </c>
      <c r="O99" s="85" t="s">
        <v>355</v>
      </c>
      <c r="P99" s="85" t="s">
        <v>73</v>
      </c>
    </row>
    <row r="100" s="84" customFormat="1" ht="27" hidden="1" spans="1:16">
      <c r="A100" s="85" t="s">
        <v>335</v>
      </c>
      <c r="B100" s="85" t="s">
        <v>21</v>
      </c>
      <c r="C100" s="85" t="s">
        <v>348</v>
      </c>
      <c r="D100" s="85" t="s">
        <v>349</v>
      </c>
      <c r="E100" s="85" t="s">
        <v>350</v>
      </c>
      <c r="F100" s="85">
        <v>7</v>
      </c>
      <c r="G100" s="85">
        <v>2024.11</v>
      </c>
      <c r="H100" s="85">
        <v>20</v>
      </c>
      <c r="I100" s="85">
        <v>7</v>
      </c>
      <c r="J100" s="85" t="s">
        <v>153</v>
      </c>
      <c r="K100" s="153" t="s">
        <v>356</v>
      </c>
      <c r="L100" s="148" t="s">
        <v>357</v>
      </c>
      <c r="M100" s="37" t="s">
        <v>353</v>
      </c>
      <c r="N100" s="154" t="s">
        <v>354</v>
      </c>
      <c r="O100" s="85" t="s">
        <v>355</v>
      </c>
      <c r="P100" s="85" t="s">
        <v>73</v>
      </c>
    </row>
    <row r="101" s="84" customFormat="1" ht="27" hidden="1" spans="1:16">
      <c r="A101" s="85" t="s">
        <v>335</v>
      </c>
      <c r="B101" s="85" t="s">
        <v>21</v>
      </c>
      <c r="C101" s="85" t="s">
        <v>348</v>
      </c>
      <c r="D101" s="85" t="s">
        <v>349</v>
      </c>
      <c r="E101" s="85" t="s">
        <v>350</v>
      </c>
      <c r="F101" s="85">
        <v>7</v>
      </c>
      <c r="G101" s="85">
        <v>2024.11</v>
      </c>
      <c r="H101" s="85">
        <v>20</v>
      </c>
      <c r="I101" s="85">
        <v>7</v>
      </c>
      <c r="J101" s="85" t="s">
        <v>153</v>
      </c>
      <c r="K101" s="153" t="s">
        <v>358</v>
      </c>
      <c r="L101" s="148" t="s">
        <v>359</v>
      </c>
      <c r="M101" s="37" t="s">
        <v>353</v>
      </c>
      <c r="N101" s="154" t="s">
        <v>354</v>
      </c>
      <c r="O101" s="85" t="s">
        <v>355</v>
      </c>
      <c r="P101" s="85" t="s">
        <v>73</v>
      </c>
    </row>
    <row r="102" s="84" customFormat="1" ht="27" hidden="1" spans="1:16">
      <c r="A102" s="85" t="s">
        <v>335</v>
      </c>
      <c r="B102" s="85" t="s">
        <v>21</v>
      </c>
      <c r="C102" s="85" t="s">
        <v>348</v>
      </c>
      <c r="D102" s="85" t="s">
        <v>349</v>
      </c>
      <c r="E102" s="85" t="s">
        <v>350</v>
      </c>
      <c r="F102" s="85">
        <v>7</v>
      </c>
      <c r="G102" s="85">
        <v>2024.11</v>
      </c>
      <c r="H102" s="85">
        <v>20</v>
      </c>
      <c r="I102" s="85">
        <v>7</v>
      </c>
      <c r="J102" s="85" t="s">
        <v>153</v>
      </c>
      <c r="K102" s="153" t="s">
        <v>360</v>
      </c>
      <c r="L102" s="148" t="s">
        <v>361</v>
      </c>
      <c r="M102" s="37" t="s">
        <v>353</v>
      </c>
      <c r="N102" s="154" t="s">
        <v>354</v>
      </c>
      <c r="O102" s="85" t="s">
        <v>355</v>
      </c>
      <c r="P102" s="85" t="s">
        <v>73</v>
      </c>
    </row>
    <row r="103" s="84" customFormat="1" ht="27" hidden="1" spans="1:16">
      <c r="A103" s="85" t="s">
        <v>335</v>
      </c>
      <c r="B103" s="85" t="s">
        <v>21</v>
      </c>
      <c r="C103" s="85" t="s">
        <v>348</v>
      </c>
      <c r="D103" s="85" t="s">
        <v>349</v>
      </c>
      <c r="E103" s="85" t="s">
        <v>350</v>
      </c>
      <c r="F103" s="85">
        <v>7</v>
      </c>
      <c r="G103" s="85">
        <v>2024.11</v>
      </c>
      <c r="H103" s="85">
        <v>20</v>
      </c>
      <c r="I103" s="85">
        <v>7</v>
      </c>
      <c r="J103" s="85" t="s">
        <v>153</v>
      </c>
      <c r="K103" s="153" t="s">
        <v>362</v>
      </c>
      <c r="L103" s="148" t="s">
        <v>363</v>
      </c>
      <c r="M103" s="37" t="s">
        <v>353</v>
      </c>
      <c r="N103" s="154" t="s">
        <v>354</v>
      </c>
      <c r="O103" s="85" t="s">
        <v>355</v>
      </c>
      <c r="P103" s="85" t="s">
        <v>73</v>
      </c>
    </row>
    <row r="104" s="84" customFormat="1" ht="40.5" hidden="1" spans="1:16">
      <c r="A104" s="85" t="s">
        <v>335</v>
      </c>
      <c r="B104" s="85" t="s">
        <v>21</v>
      </c>
      <c r="C104" s="85" t="s">
        <v>348</v>
      </c>
      <c r="D104" s="85" t="s">
        <v>349</v>
      </c>
      <c r="E104" s="85" t="s">
        <v>350</v>
      </c>
      <c r="F104" s="85">
        <v>7</v>
      </c>
      <c r="G104" s="85">
        <v>2024.11</v>
      </c>
      <c r="H104" s="85">
        <v>20</v>
      </c>
      <c r="I104" s="85">
        <v>7</v>
      </c>
      <c r="J104" s="85" t="s">
        <v>153</v>
      </c>
      <c r="K104" s="110" t="s">
        <v>364</v>
      </c>
      <c r="L104" s="155" t="s">
        <v>365</v>
      </c>
      <c r="M104" s="109" t="s">
        <v>353</v>
      </c>
      <c r="N104" s="156" t="s">
        <v>354</v>
      </c>
      <c r="O104" s="34" t="s">
        <v>355</v>
      </c>
      <c r="P104" s="34" t="s">
        <v>73</v>
      </c>
    </row>
    <row r="105" s="84" customFormat="1" ht="40.5" hidden="1" spans="1:17">
      <c r="A105" s="85" t="s">
        <v>366</v>
      </c>
      <c r="B105" s="41" t="s">
        <v>21</v>
      </c>
      <c r="C105" s="41" t="s">
        <v>367</v>
      </c>
      <c r="D105" s="41" t="s">
        <v>368</v>
      </c>
      <c r="E105" s="41" t="s">
        <v>369</v>
      </c>
      <c r="F105" s="41">
        <v>11</v>
      </c>
      <c r="G105" s="41">
        <v>2025.2</v>
      </c>
      <c r="H105" s="41">
        <v>22</v>
      </c>
      <c r="I105" s="41">
        <v>11</v>
      </c>
      <c r="J105" s="41" t="s">
        <v>278</v>
      </c>
      <c r="K105" s="39" t="s">
        <v>370</v>
      </c>
      <c r="L105" s="39" t="s">
        <v>371</v>
      </c>
      <c r="M105" s="39" t="s">
        <v>132</v>
      </c>
      <c r="N105" s="39" t="s">
        <v>372</v>
      </c>
      <c r="O105" s="85" t="s">
        <v>72</v>
      </c>
      <c r="P105" s="85" t="s">
        <v>73</v>
      </c>
      <c r="Q105" s="85"/>
    </row>
    <row r="106" s="2" customFormat="1" ht="40.5" hidden="1" spans="1:17">
      <c r="A106" s="85" t="s">
        <v>366</v>
      </c>
      <c r="B106" s="41" t="s">
        <v>21</v>
      </c>
      <c r="C106" s="41" t="s">
        <v>367</v>
      </c>
      <c r="D106" s="41" t="s">
        <v>368</v>
      </c>
      <c r="E106" s="41" t="s">
        <v>369</v>
      </c>
      <c r="F106" s="41">
        <v>11</v>
      </c>
      <c r="G106" s="41">
        <v>2025.2</v>
      </c>
      <c r="H106" s="41">
        <v>22</v>
      </c>
      <c r="I106" s="41">
        <v>11</v>
      </c>
      <c r="J106" s="41" t="s">
        <v>278</v>
      </c>
      <c r="K106" s="39" t="s">
        <v>373</v>
      </c>
      <c r="L106" s="39" t="s">
        <v>374</v>
      </c>
      <c r="M106" s="39" t="s">
        <v>375</v>
      </c>
      <c r="N106" s="39" t="s">
        <v>376</v>
      </c>
      <c r="O106" s="85"/>
      <c r="P106" s="85" t="s">
        <v>73</v>
      </c>
      <c r="Q106" s="43"/>
    </row>
    <row r="107" s="2" customFormat="1" ht="27" hidden="1" spans="1:19">
      <c r="A107" s="85" t="s">
        <v>366</v>
      </c>
      <c r="B107" s="41" t="s">
        <v>21</v>
      </c>
      <c r="C107" s="41" t="s">
        <v>367</v>
      </c>
      <c r="D107" s="41" t="s">
        <v>368</v>
      </c>
      <c r="E107" s="41" t="s">
        <v>369</v>
      </c>
      <c r="F107" s="41">
        <v>11</v>
      </c>
      <c r="G107" s="41">
        <v>2025.2</v>
      </c>
      <c r="H107" s="41">
        <v>22</v>
      </c>
      <c r="I107" s="41">
        <v>11</v>
      </c>
      <c r="J107" s="41" t="s">
        <v>278</v>
      </c>
      <c r="K107" s="39" t="s">
        <v>377</v>
      </c>
      <c r="L107" s="39" t="s">
        <v>378</v>
      </c>
      <c r="M107" s="39" t="s">
        <v>132</v>
      </c>
      <c r="N107" s="39" t="s">
        <v>372</v>
      </c>
      <c r="O107" s="85"/>
      <c r="P107" s="85" t="s">
        <v>73</v>
      </c>
      <c r="Q107" s="43"/>
      <c r="R107" s="158"/>
      <c r="S107" s="45"/>
    </row>
    <row r="108" s="2" customFormat="1" ht="27" hidden="1" spans="1:19">
      <c r="A108" s="85" t="s">
        <v>366</v>
      </c>
      <c r="B108" s="41" t="s">
        <v>21</v>
      </c>
      <c r="C108" s="41" t="s">
        <v>367</v>
      </c>
      <c r="D108" s="41" t="s">
        <v>368</v>
      </c>
      <c r="E108" s="41" t="s">
        <v>369</v>
      </c>
      <c r="F108" s="41">
        <v>11</v>
      </c>
      <c r="G108" s="41">
        <v>2025.2</v>
      </c>
      <c r="H108" s="41">
        <v>22</v>
      </c>
      <c r="I108" s="41">
        <v>11</v>
      </c>
      <c r="J108" s="41" t="s">
        <v>278</v>
      </c>
      <c r="K108" s="39" t="s">
        <v>379</v>
      </c>
      <c r="L108" s="39" t="s">
        <v>380</v>
      </c>
      <c r="M108" s="157"/>
      <c r="N108" s="157"/>
      <c r="O108" s="85"/>
      <c r="P108" s="85" t="s">
        <v>73</v>
      </c>
      <c r="Q108" s="43"/>
      <c r="R108" s="158"/>
      <c r="S108" s="45"/>
    </row>
    <row r="109" s="171" customFormat="1" ht="24" spans="1:19">
      <c r="A109" s="174" t="s">
        <v>366</v>
      </c>
      <c r="B109" s="186" t="s">
        <v>21</v>
      </c>
      <c r="C109" s="186" t="s">
        <v>367</v>
      </c>
      <c r="D109" s="186" t="s">
        <v>368</v>
      </c>
      <c r="E109" s="186" t="s">
        <v>369</v>
      </c>
      <c r="F109" s="186">
        <v>11</v>
      </c>
      <c r="G109" s="186">
        <v>2025.2</v>
      </c>
      <c r="H109" s="186">
        <v>22</v>
      </c>
      <c r="I109" s="186">
        <v>11</v>
      </c>
      <c r="J109" s="186" t="s">
        <v>278</v>
      </c>
      <c r="K109" s="189" t="s">
        <v>381</v>
      </c>
      <c r="L109" s="189" t="s">
        <v>382</v>
      </c>
      <c r="M109" s="189" t="s">
        <v>383</v>
      </c>
      <c r="N109" s="189" t="s">
        <v>176</v>
      </c>
      <c r="O109" s="174"/>
      <c r="P109" s="174" t="s">
        <v>73</v>
      </c>
      <c r="Q109" s="179"/>
      <c r="R109" s="191"/>
      <c r="S109" s="178"/>
    </row>
    <row r="110" s="2" customFormat="1" ht="21" hidden="1" customHeight="1" spans="1:19">
      <c r="A110" s="85" t="s">
        <v>366</v>
      </c>
      <c r="B110" s="41" t="s">
        <v>21</v>
      </c>
      <c r="C110" s="41" t="s">
        <v>367</v>
      </c>
      <c r="D110" s="41" t="s">
        <v>368</v>
      </c>
      <c r="E110" s="41" t="s">
        <v>369</v>
      </c>
      <c r="F110" s="41">
        <v>11</v>
      </c>
      <c r="G110" s="41">
        <v>2025.2</v>
      </c>
      <c r="H110" s="41">
        <v>22</v>
      </c>
      <c r="I110" s="41">
        <v>11</v>
      </c>
      <c r="J110" s="41" t="s">
        <v>278</v>
      </c>
      <c r="K110" s="39" t="s">
        <v>384</v>
      </c>
      <c r="L110" s="39" t="s">
        <v>385</v>
      </c>
      <c r="M110" s="39" t="s">
        <v>70</v>
      </c>
      <c r="N110" s="39" t="s">
        <v>168</v>
      </c>
      <c r="O110" s="85"/>
      <c r="P110" s="85" t="s">
        <v>73</v>
      </c>
      <c r="Q110" s="43"/>
      <c r="R110" s="158"/>
      <c r="S110" s="45"/>
    </row>
    <row r="111" s="2" customFormat="1" ht="27" hidden="1" spans="1:19">
      <c r="A111" s="85" t="s">
        <v>366</v>
      </c>
      <c r="B111" s="41" t="s">
        <v>21</v>
      </c>
      <c r="C111" s="41" t="s">
        <v>367</v>
      </c>
      <c r="D111" s="41" t="s">
        <v>368</v>
      </c>
      <c r="E111" s="41" t="s">
        <v>369</v>
      </c>
      <c r="F111" s="41">
        <v>11</v>
      </c>
      <c r="G111" s="41">
        <v>2025.2</v>
      </c>
      <c r="H111" s="41">
        <v>22</v>
      </c>
      <c r="I111" s="41">
        <v>11</v>
      </c>
      <c r="J111" s="41" t="s">
        <v>278</v>
      </c>
      <c r="K111" s="39" t="s">
        <v>424</v>
      </c>
      <c r="L111" s="157" t="s">
        <v>387</v>
      </c>
      <c r="M111" s="39" t="s">
        <v>388</v>
      </c>
      <c r="N111" s="157"/>
      <c r="O111" s="85"/>
      <c r="P111" s="85" t="s">
        <v>73</v>
      </c>
      <c r="Q111" s="43"/>
      <c r="R111" s="158"/>
      <c r="S111" s="45"/>
    </row>
    <row r="112" s="2" customFormat="1" ht="27" hidden="1" spans="1:19">
      <c r="A112" s="85" t="s">
        <v>366</v>
      </c>
      <c r="B112" s="41" t="s">
        <v>21</v>
      </c>
      <c r="C112" s="41" t="s">
        <v>367</v>
      </c>
      <c r="D112" s="41" t="s">
        <v>368</v>
      </c>
      <c r="E112" s="41" t="s">
        <v>369</v>
      </c>
      <c r="F112" s="41">
        <v>11</v>
      </c>
      <c r="G112" s="41">
        <v>2025.2</v>
      </c>
      <c r="H112" s="41">
        <v>22</v>
      </c>
      <c r="I112" s="41">
        <v>11</v>
      </c>
      <c r="J112" s="41" t="s">
        <v>278</v>
      </c>
      <c r="K112" s="39" t="s">
        <v>389</v>
      </c>
      <c r="L112" s="157"/>
      <c r="M112" s="157" t="s">
        <v>230</v>
      </c>
      <c r="N112" s="157" t="s">
        <v>231</v>
      </c>
      <c r="O112" s="85"/>
      <c r="P112" s="85" t="s">
        <v>73</v>
      </c>
      <c r="Q112" s="43"/>
      <c r="R112" s="158"/>
      <c r="S112" s="45"/>
    </row>
    <row r="113" s="171" customFormat="1" ht="24" spans="1:19">
      <c r="A113" s="174" t="s">
        <v>366</v>
      </c>
      <c r="B113" s="186" t="s">
        <v>21</v>
      </c>
      <c r="C113" s="186" t="s">
        <v>367</v>
      </c>
      <c r="D113" s="186" t="s">
        <v>368</v>
      </c>
      <c r="E113" s="186" t="s">
        <v>369</v>
      </c>
      <c r="F113" s="186">
        <v>11</v>
      </c>
      <c r="G113" s="186">
        <v>2025.2</v>
      </c>
      <c r="H113" s="186">
        <v>22</v>
      </c>
      <c r="I113" s="186">
        <v>11</v>
      </c>
      <c r="J113" s="186" t="s">
        <v>278</v>
      </c>
      <c r="K113" s="189" t="s">
        <v>390</v>
      </c>
      <c r="L113" s="189" t="s">
        <v>391</v>
      </c>
      <c r="M113" s="189" t="s">
        <v>28</v>
      </c>
      <c r="N113" s="189" t="s">
        <v>29</v>
      </c>
      <c r="O113" s="174"/>
      <c r="P113" s="174" t="s">
        <v>73</v>
      </c>
      <c r="Q113" s="179"/>
      <c r="R113" s="191"/>
      <c r="S113" s="178"/>
    </row>
    <row r="114" ht="40.5" hidden="1" spans="1:17">
      <c r="A114" s="85" t="s">
        <v>366</v>
      </c>
      <c r="B114" s="41" t="s">
        <v>21</v>
      </c>
      <c r="C114" s="41" t="s">
        <v>367</v>
      </c>
      <c r="D114" s="41" t="s">
        <v>368</v>
      </c>
      <c r="E114" s="41" t="s">
        <v>369</v>
      </c>
      <c r="F114" s="41">
        <v>11</v>
      </c>
      <c r="G114" s="41">
        <v>2025.2</v>
      </c>
      <c r="H114" s="41">
        <v>22</v>
      </c>
      <c r="I114" s="41">
        <v>11</v>
      </c>
      <c r="J114" s="41" t="s">
        <v>278</v>
      </c>
      <c r="K114" s="39" t="s">
        <v>392</v>
      </c>
      <c r="L114" s="39" t="s">
        <v>393</v>
      </c>
      <c r="M114" s="157" t="s">
        <v>230</v>
      </c>
      <c r="N114" s="157" t="s">
        <v>231</v>
      </c>
      <c r="O114" s="85"/>
      <c r="P114" s="85" t="s">
        <v>73</v>
      </c>
      <c r="Q114" s="43"/>
    </row>
    <row r="115" s="3" customFormat="1" ht="40.5" hidden="1" spans="1:19">
      <c r="A115" s="85" t="s">
        <v>366</v>
      </c>
      <c r="B115" s="41" t="s">
        <v>21</v>
      </c>
      <c r="C115" s="41" t="s">
        <v>367</v>
      </c>
      <c r="D115" s="41" t="s">
        <v>368</v>
      </c>
      <c r="E115" s="41" t="s">
        <v>369</v>
      </c>
      <c r="F115" s="41">
        <v>11</v>
      </c>
      <c r="G115" s="41">
        <v>2025.2</v>
      </c>
      <c r="H115" s="41">
        <v>22</v>
      </c>
      <c r="I115" s="41">
        <v>11</v>
      </c>
      <c r="J115" s="41" t="s">
        <v>278</v>
      </c>
      <c r="K115" s="39" t="s">
        <v>394</v>
      </c>
      <c r="L115" s="39" t="s">
        <v>395</v>
      </c>
      <c r="M115" s="39" t="s">
        <v>36</v>
      </c>
      <c r="N115" s="39" t="s">
        <v>160</v>
      </c>
      <c r="O115" s="85"/>
      <c r="P115" s="85" t="s">
        <v>73</v>
      </c>
      <c r="Q115" s="43"/>
      <c r="R115" s="158"/>
      <c r="S115" s="45"/>
    </row>
    <row r="116" s="173" customFormat="1" ht="12" spans="1:19">
      <c r="A116" s="50" t="s">
        <v>62</v>
      </c>
      <c r="B116" s="50" t="s">
        <v>63</v>
      </c>
      <c r="C116" s="50" t="s">
        <v>64</v>
      </c>
      <c r="D116" s="13" t="s">
        <v>435</v>
      </c>
      <c r="E116" s="13" t="s">
        <v>436</v>
      </c>
      <c r="F116" s="13">
        <v>1</v>
      </c>
      <c r="G116" s="13">
        <v>2025.5</v>
      </c>
      <c r="H116" s="13">
        <v>7</v>
      </c>
      <c r="I116" s="13">
        <v>1</v>
      </c>
      <c r="J116" s="24" t="s">
        <v>67</v>
      </c>
      <c r="K116" s="19" t="s">
        <v>528</v>
      </c>
      <c r="L116" s="19" t="s">
        <v>529</v>
      </c>
      <c r="M116" s="15" t="s">
        <v>28</v>
      </c>
      <c r="N116" s="30" t="s">
        <v>29</v>
      </c>
      <c r="O116" s="75" t="s">
        <v>439</v>
      </c>
      <c r="P116" s="75" t="s">
        <v>440</v>
      </c>
      <c r="Q116" s="14"/>
      <c r="R116" s="14"/>
      <c r="S116" s="15"/>
    </row>
    <row r="117" s="173" customFormat="1" ht="12" spans="1:19">
      <c r="A117" s="50" t="s">
        <v>62</v>
      </c>
      <c r="B117" s="50" t="s">
        <v>63</v>
      </c>
      <c r="C117" s="50" t="s">
        <v>64</v>
      </c>
      <c r="D117" s="13" t="s">
        <v>435</v>
      </c>
      <c r="E117" s="13" t="s">
        <v>436</v>
      </c>
      <c r="F117" s="13">
        <v>1</v>
      </c>
      <c r="G117" s="13">
        <v>2025.5</v>
      </c>
      <c r="H117" s="13">
        <v>7</v>
      </c>
      <c r="I117" s="13">
        <v>1</v>
      </c>
      <c r="J117" s="24" t="s">
        <v>67</v>
      </c>
      <c r="K117" s="19" t="s">
        <v>530</v>
      </c>
      <c r="L117" s="19" t="s">
        <v>531</v>
      </c>
      <c r="M117" s="15" t="s">
        <v>28</v>
      </c>
      <c r="N117" s="30" t="s">
        <v>29</v>
      </c>
      <c r="O117" s="75" t="s">
        <v>439</v>
      </c>
      <c r="P117" s="75" t="s">
        <v>440</v>
      </c>
      <c r="Q117" s="14"/>
      <c r="R117" s="14"/>
      <c r="S117" s="15"/>
    </row>
    <row r="118" s="173" customFormat="1" ht="12" spans="1:19">
      <c r="A118" s="50" t="s">
        <v>62</v>
      </c>
      <c r="B118" s="50" t="s">
        <v>63</v>
      </c>
      <c r="C118" s="50" t="s">
        <v>64</v>
      </c>
      <c r="D118" s="13" t="s">
        <v>435</v>
      </c>
      <c r="E118" s="13" t="s">
        <v>436</v>
      </c>
      <c r="F118" s="13">
        <v>1</v>
      </c>
      <c r="G118" s="13">
        <v>2025.5</v>
      </c>
      <c r="H118" s="13">
        <v>7</v>
      </c>
      <c r="I118" s="13">
        <v>1</v>
      </c>
      <c r="J118" s="24" t="s">
        <v>67</v>
      </c>
      <c r="K118" s="19" t="s">
        <v>532</v>
      </c>
      <c r="L118" s="19" t="s">
        <v>533</v>
      </c>
      <c r="M118" s="15" t="s">
        <v>28</v>
      </c>
      <c r="N118" s="30" t="s">
        <v>29</v>
      </c>
      <c r="O118" s="75" t="s">
        <v>439</v>
      </c>
      <c r="P118" s="75" t="s">
        <v>440</v>
      </c>
      <c r="Q118" s="14"/>
      <c r="R118" s="14"/>
      <c r="S118" s="15"/>
    </row>
    <row r="119" s="173" customFormat="1" ht="12" spans="1:19">
      <c r="A119" s="52" t="s">
        <v>149</v>
      </c>
      <c r="B119" s="13" t="s">
        <v>21</v>
      </c>
      <c r="C119" s="13" t="s">
        <v>441</v>
      </c>
      <c r="D119" s="13" t="s">
        <v>172</v>
      </c>
      <c r="E119" s="13" t="s">
        <v>442</v>
      </c>
      <c r="F119" s="13">
        <v>2</v>
      </c>
      <c r="G119" s="13">
        <v>2025.3</v>
      </c>
      <c r="H119" s="13">
        <v>20</v>
      </c>
      <c r="I119" s="13">
        <v>2</v>
      </c>
      <c r="J119" s="24" t="s">
        <v>153</v>
      </c>
      <c r="K119" s="19" t="s">
        <v>534</v>
      </c>
      <c r="L119" s="19" t="s">
        <v>535</v>
      </c>
      <c r="M119" s="15" t="s">
        <v>28</v>
      </c>
      <c r="N119" s="15" t="s">
        <v>29</v>
      </c>
      <c r="O119" s="75" t="s">
        <v>439</v>
      </c>
      <c r="P119" s="75" t="s">
        <v>440</v>
      </c>
      <c r="Q119" s="13"/>
      <c r="R119" s="13"/>
      <c r="S119" s="13"/>
    </row>
    <row r="120" s="173" customFormat="1" ht="12" spans="1:19">
      <c r="A120" s="52" t="s">
        <v>149</v>
      </c>
      <c r="B120" s="13" t="s">
        <v>21</v>
      </c>
      <c r="C120" s="13" t="s">
        <v>441</v>
      </c>
      <c r="D120" s="13" t="s">
        <v>172</v>
      </c>
      <c r="E120" s="13" t="s">
        <v>442</v>
      </c>
      <c r="F120" s="13">
        <v>2</v>
      </c>
      <c r="G120" s="13">
        <v>2025.3</v>
      </c>
      <c r="H120" s="13">
        <v>20</v>
      </c>
      <c r="I120" s="13">
        <v>2</v>
      </c>
      <c r="J120" s="24" t="s">
        <v>153</v>
      </c>
      <c r="K120" s="19" t="s">
        <v>536</v>
      </c>
      <c r="L120" s="19" t="s">
        <v>537</v>
      </c>
      <c r="M120" s="15" t="s">
        <v>28</v>
      </c>
      <c r="N120" s="15" t="s">
        <v>29</v>
      </c>
      <c r="O120" s="75" t="s">
        <v>439</v>
      </c>
      <c r="P120" s="75" t="s">
        <v>440</v>
      </c>
      <c r="Q120" s="13"/>
      <c r="R120" s="13"/>
      <c r="S120" s="13"/>
    </row>
    <row r="121" s="173" customFormat="1" ht="12" spans="1:19">
      <c r="A121" s="52" t="s">
        <v>149</v>
      </c>
      <c r="B121" s="13" t="s">
        <v>21</v>
      </c>
      <c r="C121" s="13" t="s">
        <v>441</v>
      </c>
      <c r="D121" s="13" t="s">
        <v>172</v>
      </c>
      <c r="E121" s="13" t="s">
        <v>442</v>
      </c>
      <c r="F121" s="13">
        <v>2</v>
      </c>
      <c r="G121" s="13">
        <v>2025.3</v>
      </c>
      <c r="H121" s="13">
        <v>20</v>
      </c>
      <c r="I121" s="13">
        <v>2</v>
      </c>
      <c r="J121" s="24" t="s">
        <v>153</v>
      </c>
      <c r="K121" s="19" t="s">
        <v>538</v>
      </c>
      <c r="L121" s="19" t="s">
        <v>539</v>
      </c>
      <c r="M121" s="15" t="s">
        <v>28</v>
      </c>
      <c r="N121" s="15" t="s">
        <v>29</v>
      </c>
      <c r="O121" s="75" t="s">
        <v>439</v>
      </c>
      <c r="P121" s="75" t="s">
        <v>440</v>
      </c>
      <c r="Q121" s="13"/>
      <c r="R121" s="13"/>
      <c r="S121" s="13"/>
    </row>
    <row r="122" s="171" customFormat="1" ht="24" spans="1:19">
      <c r="A122" s="24" t="s">
        <v>170</v>
      </c>
      <c r="B122" s="13" t="s">
        <v>21</v>
      </c>
      <c r="C122" s="13" t="s">
        <v>171</v>
      </c>
      <c r="D122" s="13" t="s">
        <v>172</v>
      </c>
      <c r="E122" s="13" t="s">
        <v>173</v>
      </c>
      <c r="F122" s="13">
        <v>2</v>
      </c>
      <c r="G122" s="13">
        <v>2025.3</v>
      </c>
      <c r="H122" s="13">
        <v>18</v>
      </c>
      <c r="I122" s="13">
        <v>2</v>
      </c>
      <c r="J122" s="24" t="s">
        <v>153</v>
      </c>
      <c r="K122" s="19" t="s">
        <v>540</v>
      </c>
      <c r="L122" s="19" t="s">
        <v>541</v>
      </c>
      <c r="M122" s="15" t="s">
        <v>28</v>
      </c>
      <c r="N122" s="15" t="s">
        <v>176</v>
      </c>
      <c r="O122" s="75" t="s">
        <v>439</v>
      </c>
      <c r="P122" s="75" t="s">
        <v>440</v>
      </c>
      <c r="Q122" s="14"/>
      <c r="R122" s="14"/>
      <c r="S122" s="15"/>
    </row>
    <row r="123" s="171" customFormat="1" ht="12" spans="1:19">
      <c r="A123" s="24" t="s">
        <v>254</v>
      </c>
      <c r="B123" s="51" t="s">
        <v>21</v>
      </c>
      <c r="C123" s="51" t="s">
        <v>281</v>
      </c>
      <c r="D123" s="51" t="s">
        <v>282</v>
      </c>
      <c r="E123" s="51" t="s">
        <v>283</v>
      </c>
      <c r="F123" s="51">
        <v>6</v>
      </c>
      <c r="G123" s="24">
        <v>2025.4</v>
      </c>
      <c r="H123" s="24">
        <v>22</v>
      </c>
      <c r="I123" s="24">
        <v>6</v>
      </c>
      <c r="J123" s="24" t="s">
        <v>25</v>
      </c>
      <c r="K123" s="19" t="s">
        <v>542</v>
      </c>
      <c r="L123" s="19" t="s">
        <v>543</v>
      </c>
      <c r="M123" s="15" t="s">
        <v>28</v>
      </c>
      <c r="N123" s="15" t="s">
        <v>544</v>
      </c>
      <c r="O123" s="13" t="s">
        <v>439</v>
      </c>
      <c r="P123" s="13" t="s">
        <v>440</v>
      </c>
      <c r="Q123" s="14"/>
      <c r="R123" s="14"/>
      <c r="S123" s="15"/>
    </row>
    <row r="124" s="171" customFormat="1" ht="24" spans="1:19">
      <c r="A124" s="24" t="s">
        <v>254</v>
      </c>
      <c r="B124" s="51" t="s">
        <v>21</v>
      </c>
      <c r="C124" s="51" t="s">
        <v>281</v>
      </c>
      <c r="D124" s="51" t="s">
        <v>282</v>
      </c>
      <c r="E124" s="51" t="s">
        <v>283</v>
      </c>
      <c r="F124" s="51">
        <v>6</v>
      </c>
      <c r="G124" s="24">
        <v>2025.4</v>
      </c>
      <c r="H124" s="24">
        <v>22</v>
      </c>
      <c r="I124" s="24">
        <v>6</v>
      </c>
      <c r="J124" s="24" t="s">
        <v>25</v>
      </c>
      <c r="K124" s="19" t="s">
        <v>545</v>
      </c>
      <c r="L124" s="19" t="s">
        <v>546</v>
      </c>
      <c r="M124" s="15" t="s">
        <v>28</v>
      </c>
      <c r="N124" s="15" t="s">
        <v>29</v>
      </c>
      <c r="O124" s="13" t="s">
        <v>439</v>
      </c>
      <c r="P124" s="13" t="s">
        <v>440</v>
      </c>
      <c r="Q124" s="14"/>
      <c r="R124" s="14"/>
      <c r="S124" s="15"/>
    </row>
    <row r="125" s="171" customFormat="1" ht="36" spans="1:19">
      <c r="A125" s="24" t="s">
        <v>335</v>
      </c>
      <c r="B125" s="24" t="s">
        <v>21</v>
      </c>
      <c r="C125" s="24" t="s">
        <v>270</v>
      </c>
      <c r="D125" s="24" t="s">
        <v>547</v>
      </c>
      <c r="E125" s="24" t="s">
        <v>548</v>
      </c>
      <c r="F125" s="24">
        <v>8</v>
      </c>
      <c r="G125" s="24">
        <v>2024.11</v>
      </c>
      <c r="H125" s="24">
        <v>27</v>
      </c>
      <c r="I125" s="24">
        <v>8</v>
      </c>
      <c r="J125" s="24" t="s">
        <v>153</v>
      </c>
      <c r="K125" s="19" t="s">
        <v>549</v>
      </c>
      <c r="L125" s="19" t="s">
        <v>550</v>
      </c>
      <c r="M125" s="15" t="s">
        <v>28</v>
      </c>
      <c r="N125" s="15" t="s">
        <v>29</v>
      </c>
      <c r="O125" s="24" t="s">
        <v>439</v>
      </c>
      <c r="P125" s="24" t="s">
        <v>440</v>
      </c>
      <c r="Q125" s="24"/>
      <c r="R125" s="24"/>
      <c r="S125" s="24"/>
    </row>
    <row r="126" s="171" customFormat="1" ht="132" spans="1:19">
      <c r="A126" s="24" t="s">
        <v>20</v>
      </c>
      <c r="B126" s="24" t="s">
        <v>21</v>
      </c>
      <c r="C126" s="24" t="s">
        <v>22</v>
      </c>
      <c r="D126" s="24" t="s">
        <v>23</v>
      </c>
      <c r="E126" s="24" t="s">
        <v>24</v>
      </c>
      <c r="F126" s="24">
        <v>1</v>
      </c>
      <c r="G126" s="24">
        <v>2024.9</v>
      </c>
      <c r="H126" s="24">
        <v>22</v>
      </c>
      <c r="I126" s="24">
        <v>1</v>
      </c>
      <c r="J126" s="24" t="s">
        <v>25</v>
      </c>
      <c r="K126" s="29" t="s">
        <v>551</v>
      </c>
      <c r="L126" s="29" t="s">
        <v>552</v>
      </c>
      <c r="M126" s="14" t="s">
        <v>28</v>
      </c>
      <c r="N126" s="30" t="s">
        <v>29</v>
      </c>
      <c r="O126" s="75" t="s">
        <v>553</v>
      </c>
      <c r="P126" s="75" t="s">
        <v>507</v>
      </c>
      <c r="Q126" s="30"/>
      <c r="R126" s="30"/>
      <c r="S126" s="30"/>
    </row>
    <row r="127" s="171" customFormat="1" ht="24" spans="1:19">
      <c r="A127" s="24" t="s">
        <v>20</v>
      </c>
      <c r="B127" s="24" t="s">
        <v>21</v>
      </c>
      <c r="C127" s="24" t="s">
        <v>22</v>
      </c>
      <c r="D127" s="24" t="s">
        <v>23</v>
      </c>
      <c r="E127" s="24" t="s">
        <v>24</v>
      </c>
      <c r="F127" s="24">
        <v>1</v>
      </c>
      <c r="G127" s="24">
        <v>2024.9</v>
      </c>
      <c r="H127" s="24">
        <v>22</v>
      </c>
      <c r="I127" s="24">
        <v>1</v>
      </c>
      <c r="J127" s="24" t="s">
        <v>25</v>
      </c>
      <c r="K127" s="29" t="s">
        <v>554</v>
      </c>
      <c r="L127" s="29" t="s">
        <v>555</v>
      </c>
      <c r="M127" s="14" t="s">
        <v>28</v>
      </c>
      <c r="N127" s="30" t="s">
        <v>29</v>
      </c>
      <c r="O127" s="75" t="s">
        <v>553</v>
      </c>
      <c r="P127" s="75" t="s">
        <v>507</v>
      </c>
      <c r="Q127" s="30"/>
      <c r="R127" s="30"/>
      <c r="S127" s="30"/>
    </row>
    <row r="128" s="171" customFormat="1" ht="36" spans="1:19">
      <c r="A128" s="24" t="s">
        <v>62</v>
      </c>
      <c r="B128" s="24" t="s">
        <v>63</v>
      </c>
      <c r="C128" s="24" t="s">
        <v>64</v>
      </c>
      <c r="D128" s="24" t="s">
        <v>435</v>
      </c>
      <c r="E128" s="24" t="s">
        <v>556</v>
      </c>
      <c r="F128" s="24">
        <v>1</v>
      </c>
      <c r="G128" s="24">
        <v>2025.6</v>
      </c>
      <c r="H128" s="24">
        <v>11</v>
      </c>
      <c r="I128" s="24">
        <v>1</v>
      </c>
      <c r="J128" s="24" t="s">
        <v>488</v>
      </c>
      <c r="K128" s="19" t="s">
        <v>557</v>
      </c>
      <c r="L128" s="19" t="s">
        <v>558</v>
      </c>
      <c r="M128" s="15" t="s">
        <v>28</v>
      </c>
      <c r="N128" s="15" t="s">
        <v>29</v>
      </c>
      <c r="O128" s="75" t="s">
        <v>559</v>
      </c>
      <c r="P128" s="75" t="s">
        <v>560</v>
      </c>
      <c r="Q128" s="30"/>
      <c r="R128" s="30"/>
      <c r="S128" s="30"/>
    </row>
    <row r="129" s="171" customFormat="1" ht="12" spans="1:19">
      <c r="A129" s="13" t="s">
        <v>149</v>
      </c>
      <c r="B129" s="13" t="s">
        <v>21</v>
      </c>
      <c r="C129" s="13" t="s">
        <v>441</v>
      </c>
      <c r="D129" s="13" t="s">
        <v>172</v>
      </c>
      <c r="E129" s="13" t="s">
        <v>445</v>
      </c>
      <c r="F129" s="13">
        <v>3</v>
      </c>
      <c r="G129" s="13">
        <v>2025.3</v>
      </c>
      <c r="H129" s="13">
        <v>6</v>
      </c>
      <c r="I129" s="13">
        <v>3</v>
      </c>
      <c r="J129" s="24" t="s">
        <v>153</v>
      </c>
      <c r="K129" s="19" t="s">
        <v>561</v>
      </c>
      <c r="L129" s="19" t="s">
        <v>562</v>
      </c>
      <c r="M129" s="14" t="s">
        <v>28</v>
      </c>
      <c r="N129" s="30" t="s">
        <v>544</v>
      </c>
      <c r="O129" s="75" t="s">
        <v>563</v>
      </c>
      <c r="P129" s="75" t="s">
        <v>507</v>
      </c>
      <c r="Q129" s="30"/>
      <c r="R129" s="30"/>
      <c r="S129" s="30"/>
    </row>
    <row r="130" s="171" customFormat="1" ht="12" spans="1:19">
      <c r="A130" s="13" t="s">
        <v>149</v>
      </c>
      <c r="B130" s="13" t="s">
        <v>21</v>
      </c>
      <c r="C130" s="13" t="s">
        <v>441</v>
      </c>
      <c r="D130" s="13" t="s">
        <v>172</v>
      </c>
      <c r="E130" s="13" t="s">
        <v>445</v>
      </c>
      <c r="F130" s="13">
        <v>3</v>
      </c>
      <c r="G130" s="13">
        <v>2025.3</v>
      </c>
      <c r="H130" s="13">
        <v>6</v>
      </c>
      <c r="I130" s="13">
        <v>3</v>
      </c>
      <c r="J130" s="24" t="s">
        <v>153</v>
      </c>
      <c r="K130" s="19" t="s">
        <v>564</v>
      </c>
      <c r="L130" s="19" t="s">
        <v>565</v>
      </c>
      <c r="M130" s="14" t="s">
        <v>28</v>
      </c>
      <c r="N130" s="30" t="s">
        <v>544</v>
      </c>
      <c r="O130" s="75" t="s">
        <v>563</v>
      </c>
      <c r="P130" s="75" t="s">
        <v>507</v>
      </c>
      <c r="Q130" s="30"/>
      <c r="R130" s="30"/>
      <c r="S130" s="30"/>
    </row>
    <row r="131" s="171" customFormat="1" ht="12" spans="1:19">
      <c r="A131" s="13" t="s">
        <v>500</v>
      </c>
      <c r="B131" s="13" t="s">
        <v>21</v>
      </c>
      <c r="C131" s="13" t="s">
        <v>501</v>
      </c>
      <c r="D131" s="13" t="s">
        <v>502</v>
      </c>
      <c r="E131" s="13" t="s">
        <v>503</v>
      </c>
      <c r="F131" s="13">
        <v>329</v>
      </c>
      <c r="G131" s="13">
        <v>2025.3</v>
      </c>
      <c r="H131" s="13">
        <v>17</v>
      </c>
      <c r="I131" s="13">
        <v>329</v>
      </c>
      <c r="J131" s="13" t="s">
        <v>25</v>
      </c>
      <c r="K131" s="29" t="s">
        <v>566</v>
      </c>
      <c r="L131" s="29" t="s">
        <v>567</v>
      </c>
      <c r="M131" s="14" t="s">
        <v>28</v>
      </c>
      <c r="N131" s="30" t="s">
        <v>29</v>
      </c>
      <c r="O131" s="75" t="s">
        <v>506</v>
      </c>
      <c r="P131" s="75" t="s">
        <v>507</v>
      </c>
      <c r="Q131" s="30"/>
      <c r="R131" s="30"/>
      <c r="S131" s="30"/>
    </row>
    <row r="132" s="171" customFormat="1" ht="24" spans="1:19">
      <c r="A132" s="13" t="s">
        <v>223</v>
      </c>
      <c r="B132" s="14" t="s">
        <v>63</v>
      </c>
      <c r="C132" s="15" t="s">
        <v>568</v>
      </c>
      <c r="D132" s="15" t="s">
        <v>239</v>
      </c>
      <c r="E132" s="14" t="s">
        <v>240</v>
      </c>
      <c r="F132" s="14">
        <v>2</v>
      </c>
      <c r="G132" s="14">
        <v>2024.12</v>
      </c>
      <c r="H132" s="14">
        <v>11</v>
      </c>
      <c r="I132" s="14">
        <v>2</v>
      </c>
      <c r="J132" s="13"/>
      <c r="K132" s="19" t="s">
        <v>569</v>
      </c>
      <c r="L132" s="19" t="s">
        <v>570</v>
      </c>
      <c r="M132" s="15" t="s">
        <v>28</v>
      </c>
      <c r="N132" s="19" t="s">
        <v>29</v>
      </c>
      <c r="O132" s="13" t="s">
        <v>499</v>
      </c>
      <c r="P132" s="13" t="s">
        <v>571</v>
      </c>
      <c r="Q132" s="14"/>
      <c r="R132" s="14"/>
      <c r="S132" s="15"/>
    </row>
    <row r="133" s="171" customFormat="1" ht="24" spans="1:19">
      <c r="A133" s="13" t="s">
        <v>313</v>
      </c>
      <c r="B133" s="13" t="s">
        <v>21</v>
      </c>
      <c r="C133" s="13" t="s">
        <v>572</v>
      </c>
      <c r="D133" s="13" t="s">
        <v>328</v>
      </c>
      <c r="E133" s="13" t="s">
        <v>329</v>
      </c>
      <c r="F133" s="13">
        <v>10</v>
      </c>
      <c r="G133" s="13">
        <v>2025.4</v>
      </c>
      <c r="H133" s="13">
        <v>30</v>
      </c>
      <c r="I133" s="13">
        <v>10</v>
      </c>
      <c r="J133" s="13" t="s">
        <v>25</v>
      </c>
      <c r="K133" s="19" t="s">
        <v>573</v>
      </c>
      <c r="L133" s="19" t="s">
        <v>574</v>
      </c>
      <c r="M133" s="14" t="s">
        <v>28</v>
      </c>
      <c r="N133" s="15" t="s">
        <v>29</v>
      </c>
      <c r="O133" s="13" t="s">
        <v>563</v>
      </c>
      <c r="P133" s="13" t="s">
        <v>507</v>
      </c>
      <c r="Q133" s="14"/>
      <c r="R133" s="14"/>
      <c r="S133" s="15"/>
    </row>
    <row r="134" s="171" customFormat="1" ht="12" spans="1:19">
      <c r="A134" s="24" t="s">
        <v>254</v>
      </c>
      <c r="B134" s="24" t="s">
        <v>21</v>
      </c>
      <c r="C134" s="24" t="s">
        <v>281</v>
      </c>
      <c r="D134" s="24" t="s">
        <v>282</v>
      </c>
      <c r="E134" s="24" t="s">
        <v>283</v>
      </c>
      <c r="F134" s="24">
        <v>7</v>
      </c>
      <c r="G134" s="24">
        <v>2025.4</v>
      </c>
      <c r="H134" s="24">
        <v>22</v>
      </c>
      <c r="I134" s="24">
        <v>7</v>
      </c>
      <c r="J134" s="24" t="s">
        <v>25</v>
      </c>
      <c r="K134" s="19" t="s">
        <v>284</v>
      </c>
      <c r="L134" s="19" t="s">
        <v>285</v>
      </c>
      <c r="M134" s="14" t="s">
        <v>28</v>
      </c>
      <c r="N134" s="79" t="s">
        <v>176</v>
      </c>
      <c r="O134" s="13" t="s">
        <v>506</v>
      </c>
      <c r="P134" s="13" t="s">
        <v>510</v>
      </c>
      <c r="Q134" s="14"/>
      <c r="R134" s="14"/>
      <c r="S134" s="15"/>
    </row>
    <row r="135" s="171" customFormat="1" ht="12" spans="1:19">
      <c r="A135" s="24" t="s">
        <v>254</v>
      </c>
      <c r="B135" s="24" t="s">
        <v>21</v>
      </c>
      <c r="C135" s="24" t="s">
        <v>281</v>
      </c>
      <c r="D135" s="24" t="s">
        <v>282</v>
      </c>
      <c r="E135" s="24" t="s">
        <v>283</v>
      </c>
      <c r="F135" s="24">
        <v>7</v>
      </c>
      <c r="G135" s="24">
        <v>2025.4</v>
      </c>
      <c r="H135" s="24">
        <v>22</v>
      </c>
      <c r="I135" s="24">
        <v>7</v>
      </c>
      <c r="J135" s="24" t="s">
        <v>25</v>
      </c>
      <c r="K135" s="19" t="s">
        <v>292</v>
      </c>
      <c r="L135" s="19" t="s">
        <v>293</v>
      </c>
      <c r="M135" s="14" t="s">
        <v>28</v>
      </c>
      <c r="N135" s="19" t="s">
        <v>29</v>
      </c>
      <c r="O135" s="13" t="s">
        <v>506</v>
      </c>
      <c r="P135" s="13" t="s">
        <v>510</v>
      </c>
      <c r="Q135" s="14"/>
      <c r="R135" s="14"/>
      <c r="S135" s="15"/>
    </row>
    <row r="136" s="171" customFormat="1" ht="12" spans="1:19">
      <c r="A136" s="24" t="s">
        <v>254</v>
      </c>
      <c r="B136" s="24" t="s">
        <v>21</v>
      </c>
      <c r="C136" s="24" t="s">
        <v>281</v>
      </c>
      <c r="D136" s="24" t="s">
        <v>282</v>
      </c>
      <c r="E136" s="24" t="s">
        <v>283</v>
      </c>
      <c r="F136" s="24">
        <v>7</v>
      </c>
      <c r="G136" s="24">
        <v>2025.4</v>
      </c>
      <c r="H136" s="24">
        <v>22</v>
      </c>
      <c r="I136" s="24">
        <v>7</v>
      </c>
      <c r="J136" s="24" t="s">
        <v>25</v>
      </c>
      <c r="K136" s="19" t="s">
        <v>294</v>
      </c>
      <c r="L136" s="19" t="s">
        <v>295</v>
      </c>
      <c r="M136" s="14" t="s">
        <v>28</v>
      </c>
      <c r="N136" s="19" t="s">
        <v>29</v>
      </c>
      <c r="O136" s="13" t="s">
        <v>506</v>
      </c>
      <c r="P136" s="13" t="s">
        <v>510</v>
      </c>
      <c r="Q136" s="14"/>
      <c r="R136" s="14"/>
      <c r="S136" s="15"/>
    </row>
    <row r="137" s="171" customFormat="1" ht="12" spans="1:19">
      <c r="A137" s="24" t="s">
        <v>254</v>
      </c>
      <c r="B137" s="24" t="s">
        <v>21</v>
      </c>
      <c r="C137" s="24" t="s">
        <v>281</v>
      </c>
      <c r="D137" s="24" t="s">
        <v>282</v>
      </c>
      <c r="E137" s="24" t="s">
        <v>283</v>
      </c>
      <c r="F137" s="24">
        <v>7</v>
      </c>
      <c r="G137" s="24">
        <v>2025.4</v>
      </c>
      <c r="H137" s="24">
        <v>22</v>
      </c>
      <c r="I137" s="24">
        <v>7</v>
      </c>
      <c r="J137" s="24" t="s">
        <v>25</v>
      </c>
      <c r="K137" s="19" t="s">
        <v>575</v>
      </c>
      <c r="L137" s="19" t="s">
        <v>576</v>
      </c>
      <c r="M137" s="14" t="s">
        <v>28</v>
      </c>
      <c r="N137" s="79" t="s">
        <v>176</v>
      </c>
      <c r="O137" s="13" t="s">
        <v>506</v>
      </c>
      <c r="P137" s="13" t="s">
        <v>510</v>
      </c>
      <c r="Q137" s="14"/>
      <c r="R137" s="14"/>
      <c r="S137" s="15"/>
    </row>
    <row r="138" s="171" customFormat="1" ht="12" spans="1:19">
      <c r="A138" s="24" t="s">
        <v>254</v>
      </c>
      <c r="B138" s="24" t="s">
        <v>21</v>
      </c>
      <c r="C138" s="24" t="s">
        <v>281</v>
      </c>
      <c r="D138" s="24" t="s">
        <v>282</v>
      </c>
      <c r="E138" s="24" t="s">
        <v>283</v>
      </c>
      <c r="F138" s="24">
        <v>7</v>
      </c>
      <c r="G138" s="24">
        <v>2025.4</v>
      </c>
      <c r="H138" s="24">
        <v>22</v>
      </c>
      <c r="I138" s="24">
        <v>7</v>
      </c>
      <c r="J138" s="24" t="s">
        <v>25</v>
      </c>
      <c r="K138" s="19" t="s">
        <v>577</v>
      </c>
      <c r="L138" s="19" t="s">
        <v>578</v>
      </c>
      <c r="M138" s="14" t="s">
        <v>28</v>
      </c>
      <c r="N138" s="79" t="s">
        <v>176</v>
      </c>
      <c r="O138" s="13" t="s">
        <v>506</v>
      </c>
      <c r="P138" s="13" t="s">
        <v>510</v>
      </c>
      <c r="Q138" s="14"/>
      <c r="R138" s="14"/>
      <c r="S138" s="15"/>
    </row>
    <row r="139" s="171" customFormat="1" ht="12" spans="1:19">
      <c r="A139" s="24" t="s">
        <v>254</v>
      </c>
      <c r="B139" s="24" t="s">
        <v>21</v>
      </c>
      <c r="C139" s="24" t="s">
        <v>281</v>
      </c>
      <c r="D139" s="24" t="s">
        <v>282</v>
      </c>
      <c r="E139" s="24" t="s">
        <v>283</v>
      </c>
      <c r="F139" s="24">
        <v>7</v>
      </c>
      <c r="G139" s="24">
        <v>2025.4</v>
      </c>
      <c r="H139" s="24">
        <v>22</v>
      </c>
      <c r="I139" s="24">
        <v>7</v>
      </c>
      <c r="J139" s="24" t="s">
        <v>25</v>
      </c>
      <c r="K139" s="19" t="s">
        <v>579</v>
      </c>
      <c r="L139" s="19" t="s">
        <v>580</v>
      </c>
      <c r="M139" s="14" t="s">
        <v>28</v>
      </c>
      <c r="N139" s="79" t="s">
        <v>176</v>
      </c>
      <c r="O139" s="13" t="s">
        <v>506</v>
      </c>
      <c r="P139" s="13" t="s">
        <v>510</v>
      </c>
      <c r="Q139" s="14"/>
      <c r="R139" s="14"/>
      <c r="S139" s="15"/>
    </row>
    <row r="140" s="171" customFormat="1" ht="12" spans="1:19">
      <c r="A140" s="24" t="s">
        <v>254</v>
      </c>
      <c r="B140" s="24" t="s">
        <v>21</v>
      </c>
      <c r="C140" s="24" t="s">
        <v>281</v>
      </c>
      <c r="D140" s="24" t="s">
        <v>282</v>
      </c>
      <c r="E140" s="24" t="s">
        <v>283</v>
      </c>
      <c r="F140" s="24">
        <v>7</v>
      </c>
      <c r="G140" s="24">
        <v>2025.4</v>
      </c>
      <c r="H140" s="24">
        <v>22</v>
      </c>
      <c r="I140" s="24">
        <v>7</v>
      </c>
      <c r="J140" s="24" t="s">
        <v>25</v>
      </c>
      <c r="K140" s="19" t="s">
        <v>581</v>
      </c>
      <c r="L140" s="19" t="s">
        <v>582</v>
      </c>
      <c r="M140" s="14" t="s">
        <v>28</v>
      </c>
      <c r="N140" s="79" t="s">
        <v>176</v>
      </c>
      <c r="O140" s="13" t="s">
        <v>506</v>
      </c>
      <c r="P140" s="13" t="s">
        <v>510</v>
      </c>
      <c r="Q140" s="14"/>
      <c r="R140" s="14"/>
      <c r="S140" s="15"/>
    </row>
    <row r="141" s="171" customFormat="1" ht="24" spans="1:19">
      <c r="A141" s="24" t="s">
        <v>254</v>
      </c>
      <c r="B141" s="24" t="s">
        <v>21</v>
      </c>
      <c r="C141" s="24" t="s">
        <v>281</v>
      </c>
      <c r="D141" s="24" t="s">
        <v>282</v>
      </c>
      <c r="E141" s="24" t="s">
        <v>283</v>
      </c>
      <c r="F141" s="24">
        <v>7</v>
      </c>
      <c r="G141" s="24">
        <v>2025.4</v>
      </c>
      <c r="H141" s="24">
        <v>22</v>
      </c>
      <c r="I141" s="24">
        <v>7</v>
      </c>
      <c r="J141" s="24" t="s">
        <v>25</v>
      </c>
      <c r="K141" s="19" t="s">
        <v>583</v>
      </c>
      <c r="L141" s="19" t="s">
        <v>584</v>
      </c>
      <c r="M141" s="14" t="s">
        <v>28</v>
      </c>
      <c r="N141" s="19" t="s">
        <v>29</v>
      </c>
      <c r="O141" s="13" t="s">
        <v>506</v>
      </c>
      <c r="P141" s="13" t="s">
        <v>510</v>
      </c>
      <c r="Q141" s="14"/>
      <c r="R141" s="14"/>
      <c r="S141" s="15"/>
    </row>
    <row r="142" s="171" customFormat="1" ht="24" spans="1:19">
      <c r="A142" s="24" t="s">
        <v>254</v>
      </c>
      <c r="B142" s="24" t="s">
        <v>21</v>
      </c>
      <c r="C142" s="24" t="s">
        <v>281</v>
      </c>
      <c r="D142" s="24" t="s">
        <v>282</v>
      </c>
      <c r="E142" s="24" t="s">
        <v>283</v>
      </c>
      <c r="F142" s="24">
        <v>7</v>
      </c>
      <c r="G142" s="24">
        <v>2025.4</v>
      </c>
      <c r="H142" s="24">
        <v>22</v>
      </c>
      <c r="I142" s="24">
        <v>7</v>
      </c>
      <c r="J142" s="24" t="s">
        <v>25</v>
      </c>
      <c r="K142" s="19" t="s">
        <v>585</v>
      </c>
      <c r="L142" s="19" t="s">
        <v>584</v>
      </c>
      <c r="M142" s="14" t="s">
        <v>28</v>
      </c>
      <c r="N142" s="19" t="s">
        <v>29</v>
      </c>
      <c r="O142" s="13" t="s">
        <v>506</v>
      </c>
      <c r="P142" s="13" t="s">
        <v>510</v>
      </c>
      <c r="Q142" s="14"/>
      <c r="R142" s="14"/>
      <c r="S142" s="15"/>
    </row>
    <row r="143" s="171" customFormat="1" ht="24" spans="1:19">
      <c r="A143" s="24" t="s">
        <v>254</v>
      </c>
      <c r="B143" s="24" t="s">
        <v>21</v>
      </c>
      <c r="C143" s="24" t="s">
        <v>281</v>
      </c>
      <c r="D143" s="24" t="s">
        <v>282</v>
      </c>
      <c r="E143" s="24" t="s">
        <v>283</v>
      </c>
      <c r="F143" s="24">
        <v>7</v>
      </c>
      <c r="G143" s="24">
        <v>2025.4</v>
      </c>
      <c r="H143" s="24">
        <v>22</v>
      </c>
      <c r="I143" s="24">
        <v>7</v>
      </c>
      <c r="J143" s="24" t="s">
        <v>25</v>
      </c>
      <c r="K143" s="19" t="s">
        <v>586</v>
      </c>
      <c r="L143" s="19" t="s">
        <v>587</v>
      </c>
      <c r="M143" s="14" t="s">
        <v>28</v>
      </c>
      <c r="N143" s="19" t="s">
        <v>29</v>
      </c>
      <c r="O143" s="13" t="s">
        <v>506</v>
      </c>
      <c r="P143" s="13" t="s">
        <v>510</v>
      </c>
      <c r="Q143" s="14"/>
      <c r="R143" s="14"/>
      <c r="S143" s="15"/>
    </row>
    <row r="144" s="171" customFormat="1" ht="12" spans="1:19">
      <c r="A144" s="24" t="s">
        <v>254</v>
      </c>
      <c r="B144" s="24" t="s">
        <v>21</v>
      </c>
      <c r="C144" s="24" t="s">
        <v>281</v>
      </c>
      <c r="D144" s="24" t="s">
        <v>282</v>
      </c>
      <c r="E144" s="24" t="s">
        <v>283</v>
      </c>
      <c r="F144" s="24">
        <v>7</v>
      </c>
      <c r="G144" s="24">
        <v>2025.4</v>
      </c>
      <c r="H144" s="24">
        <v>22</v>
      </c>
      <c r="I144" s="24">
        <v>7</v>
      </c>
      <c r="J144" s="24" t="s">
        <v>25</v>
      </c>
      <c r="K144" s="19" t="s">
        <v>588</v>
      </c>
      <c r="L144" s="19" t="s">
        <v>589</v>
      </c>
      <c r="M144" s="14" t="s">
        <v>28</v>
      </c>
      <c r="N144" s="19" t="s">
        <v>29</v>
      </c>
      <c r="O144" s="13" t="s">
        <v>506</v>
      </c>
      <c r="P144" s="13" t="s">
        <v>510</v>
      </c>
      <c r="Q144" s="14"/>
      <c r="R144" s="14"/>
      <c r="S144" s="15"/>
    </row>
    <row r="145" s="171" customFormat="1" ht="24" spans="1:19">
      <c r="A145" s="13" t="s">
        <v>476</v>
      </c>
      <c r="B145" s="13" t="s">
        <v>21</v>
      </c>
      <c r="C145" s="13" t="s">
        <v>367</v>
      </c>
      <c r="D145" s="13" t="s">
        <v>368</v>
      </c>
      <c r="E145" s="13" t="s">
        <v>369</v>
      </c>
      <c r="F145" s="13">
        <v>11</v>
      </c>
      <c r="G145" s="13">
        <v>2025.2</v>
      </c>
      <c r="H145" s="13">
        <v>22</v>
      </c>
      <c r="I145" s="13">
        <v>11</v>
      </c>
      <c r="J145" s="13" t="s">
        <v>590</v>
      </c>
      <c r="K145" s="15" t="s">
        <v>591</v>
      </c>
      <c r="L145" s="19" t="s">
        <v>592</v>
      </c>
      <c r="M145" s="15" t="s">
        <v>28</v>
      </c>
      <c r="N145" s="15" t="s">
        <v>29</v>
      </c>
      <c r="O145" s="13" t="s">
        <v>506</v>
      </c>
      <c r="P145" s="13" t="s">
        <v>507</v>
      </c>
      <c r="Q145" s="14"/>
      <c r="R145" s="14"/>
      <c r="S145" s="15"/>
    </row>
    <row r="146" s="171" customFormat="1" ht="12" spans="1:19">
      <c r="A146" s="13" t="s">
        <v>311</v>
      </c>
      <c r="B146" s="24" t="s">
        <v>21</v>
      </c>
      <c r="C146" s="24" t="s">
        <v>593</v>
      </c>
      <c r="D146" s="24" t="s">
        <v>594</v>
      </c>
      <c r="E146" s="24" t="s">
        <v>595</v>
      </c>
      <c r="F146" s="24">
        <v>1</v>
      </c>
      <c r="G146" s="24">
        <v>2025.6</v>
      </c>
      <c r="H146" s="24">
        <v>19</v>
      </c>
      <c r="I146" s="24">
        <v>1</v>
      </c>
      <c r="J146" s="13" t="s">
        <v>153</v>
      </c>
      <c r="K146" s="79" t="s">
        <v>596</v>
      </c>
      <c r="L146" s="19" t="s">
        <v>597</v>
      </c>
      <c r="M146" s="15" t="s">
        <v>28</v>
      </c>
      <c r="N146" s="19" t="s">
        <v>176</v>
      </c>
      <c r="O146" s="13" t="s">
        <v>518</v>
      </c>
      <c r="P146" s="13" t="s">
        <v>507</v>
      </c>
      <c r="Q146" s="14"/>
      <c r="R146" s="14"/>
      <c r="S146" s="15"/>
    </row>
  </sheetData>
  <autoFilter xmlns:etc="http://www.wps.cn/officeDocument/2017/etCustomData" ref="A2:S146" etc:filterBottomFollowUsedRange="0">
    <filterColumn colId="12">
      <filters>
        <filter val="生产、PMC"/>
        <filter val="生产、采购、电气"/>
        <filter val="生产、采购、测试、电气"/>
        <filter val="生产"/>
        <filter val="生产（外协接的线）"/>
      </filters>
    </filterColumn>
    <extLst/>
  </autoFilter>
  <mergeCells count="25">
    <mergeCell ref="A1:S1"/>
    <mergeCell ref="B62:B63"/>
    <mergeCell ref="B96:B97"/>
    <mergeCell ref="C62:C63"/>
    <mergeCell ref="C96:C97"/>
    <mergeCell ref="D16:D17"/>
    <mergeCell ref="D62:D63"/>
    <mergeCell ref="D96:D97"/>
    <mergeCell ref="E16:E17"/>
    <mergeCell ref="E62:E63"/>
    <mergeCell ref="E96:E97"/>
    <mergeCell ref="F16:F17"/>
    <mergeCell ref="F62:F63"/>
    <mergeCell ref="F96:F97"/>
    <mergeCell ref="G16:G17"/>
    <mergeCell ref="G62:G63"/>
    <mergeCell ref="G96:G97"/>
    <mergeCell ref="H16:H17"/>
    <mergeCell ref="H62:H63"/>
    <mergeCell ref="H96:H97"/>
    <mergeCell ref="I16:I17"/>
    <mergeCell ref="I62:I63"/>
    <mergeCell ref="I96:I97"/>
    <mergeCell ref="O96:O97"/>
    <mergeCell ref="P96:P97"/>
  </mergeCells>
  <conditionalFormatting sqref="K3:K15">
    <cfRule type="expression" dxfId="1" priority="8">
      <formula>$K3="已完成"</formula>
    </cfRule>
    <cfRule type="expression" dxfId="0" priority="7">
      <formula>OR($K3="延期",AND(#REF!="严重",$K3=""))</formula>
    </cfRule>
  </conditionalFormatting>
  <conditionalFormatting sqref="L3:L15">
    <cfRule type="expression" dxfId="1" priority="6">
      <formula>$K3="已完成"</formula>
    </cfRule>
    <cfRule type="expression" dxfId="0" priority="5">
      <formula>OR($K3="延期",AND(#REF!="严重",$K3=""))</formula>
    </cfRule>
  </conditionalFormatting>
  <conditionalFormatting sqref="K126 K127 K128 K129:K130 K131">
    <cfRule type="expression" dxfId="1" priority="4">
      <formula>$K126="已完成"</formula>
    </cfRule>
    <cfRule type="expression" dxfId="0" priority="3">
      <formula>OR($K126="延期",AND(#REF!="严重",$K126=""))</formula>
    </cfRule>
  </conditionalFormatting>
  <conditionalFormatting sqref="L126 L127 L128 L129:L130 L131">
    <cfRule type="expression" dxfId="1" priority="2">
      <formula>$K126="已完成"</formula>
    </cfRule>
    <cfRule type="expression" dxfId="0" priority="1">
      <formula>OR($K126="延期",AND(#REF!="严重",$K126=""))</formula>
    </cfRule>
  </conditionalFormatting>
  <dataValidations count="1">
    <dataValidation allowBlank="1" showInputMessage="1" showErrorMessage="1" sqref="K131:L131 K126:L127 K3:L15"/>
  </dataValidation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S150"/>
  <sheetViews>
    <sheetView workbookViewId="0">
      <pane xSplit="1" ySplit="2" topLeftCell="B3" activePane="bottomRight" state="frozen"/>
      <selection/>
      <selection pane="topRight"/>
      <selection pane="bottomLeft"/>
      <selection pane="bottomRight" activeCell="E26" sqref="E26"/>
    </sheetView>
  </sheetViews>
  <sheetFormatPr defaultColWidth="11" defaultRowHeight="13.5"/>
  <cols>
    <col min="1" max="2" width="11" style="2"/>
    <col min="3" max="3" width="11" style="4"/>
    <col min="4" max="4" width="21.2166666666667" style="4" customWidth="1"/>
    <col min="5" max="5" width="14.1666666666667" style="2" customWidth="1"/>
    <col min="6" max="6" width="11" style="2"/>
    <col min="7" max="7" width="12.3583333333333" style="5" customWidth="1"/>
    <col min="8" max="8" width="11.2083333333333" style="2"/>
    <col min="9" max="10" width="11" style="2"/>
    <col min="11" max="11" width="31.6416666666667" style="4" customWidth="1"/>
    <col min="12" max="12" width="40.6416666666667" style="4" customWidth="1"/>
    <col min="13" max="14" width="9.1" style="4"/>
    <col min="15" max="15" width="15" style="2" customWidth="1"/>
    <col min="16" max="16" width="10.6416666666667" style="2" customWidth="1"/>
    <col min="17" max="18" width="9.1" style="2"/>
    <col min="19" max="19" width="17.425" style="4" customWidth="1"/>
    <col min="20" max="16384" width="11" style="2"/>
  </cols>
  <sheetData>
    <row r="1" s="1" customFormat="1" ht="31.5" spans="1:19">
      <c r="A1" s="6" t="s">
        <v>404</v>
      </c>
      <c r="B1" s="7"/>
      <c r="C1" s="8"/>
      <c r="D1" s="8"/>
      <c r="E1" s="7"/>
      <c r="F1" s="7"/>
      <c r="G1" s="9"/>
      <c r="H1" s="7"/>
      <c r="I1" s="7"/>
      <c r="J1" s="7"/>
      <c r="K1" s="7"/>
      <c r="L1" s="7"/>
      <c r="M1" s="7"/>
      <c r="N1" s="7"/>
      <c r="O1" s="7"/>
      <c r="P1" s="7"/>
      <c r="Q1" s="7"/>
      <c r="R1" s="7"/>
      <c r="S1" s="20"/>
    </row>
    <row r="2" s="1" customFormat="1" ht="42.75" spans="1:19">
      <c r="A2" s="10" t="s">
        <v>1</v>
      </c>
      <c r="B2" s="11" t="s">
        <v>2</v>
      </c>
      <c r="C2" s="11" t="s">
        <v>3</v>
      </c>
      <c r="D2" s="12" t="s">
        <v>4</v>
      </c>
      <c r="E2" s="10" t="s">
        <v>5</v>
      </c>
      <c r="F2" s="11" t="s">
        <v>6</v>
      </c>
      <c r="G2" s="12" t="s">
        <v>7</v>
      </c>
      <c r="H2" s="11" t="s">
        <v>8</v>
      </c>
      <c r="I2" s="11" t="s">
        <v>9</v>
      </c>
      <c r="J2" s="11" t="s">
        <v>10</v>
      </c>
      <c r="K2" s="18" t="s">
        <v>11</v>
      </c>
      <c r="L2" s="18" t="s">
        <v>12</v>
      </c>
      <c r="M2" s="18" t="s">
        <v>13</v>
      </c>
      <c r="N2" s="18" t="s">
        <v>14</v>
      </c>
      <c r="O2" s="18" t="s">
        <v>15</v>
      </c>
      <c r="P2" s="18" t="s">
        <v>16</v>
      </c>
      <c r="Q2" s="18" t="s">
        <v>17</v>
      </c>
      <c r="R2" s="18" t="s">
        <v>18</v>
      </c>
      <c r="S2" s="18" t="s">
        <v>19</v>
      </c>
    </row>
    <row r="3" s="81" customFormat="1" ht="27" hidden="1" spans="1:19">
      <c r="A3" s="85" t="s">
        <v>20</v>
      </c>
      <c r="B3" s="85" t="s">
        <v>21</v>
      </c>
      <c r="C3" s="85" t="s">
        <v>22</v>
      </c>
      <c r="D3" s="85" t="s">
        <v>23</v>
      </c>
      <c r="E3" s="85" t="s">
        <v>24</v>
      </c>
      <c r="F3" s="85">
        <v>77</v>
      </c>
      <c r="G3" s="85">
        <v>2024.9</v>
      </c>
      <c r="H3" s="85">
        <v>22</v>
      </c>
      <c r="I3" s="85">
        <v>77</v>
      </c>
      <c r="J3" s="85" t="s">
        <v>25</v>
      </c>
      <c r="K3" s="29" t="s">
        <v>26</v>
      </c>
      <c r="L3" s="29" t="s">
        <v>27</v>
      </c>
      <c r="M3" s="43" t="s">
        <v>28</v>
      </c>
      <c r="N3" s="100" t="s">
        <v>29</v>
      </c>
      <c r="O3" s="101" t="s">
        <v>30</v>
      </c>
      <c r="P3" s="101" t="s">
        <v>31</v>
      </c>
      <c r="Q3" s="100"/>
      <c r="R3" s="100"/>
      <c r="S3" s="100"/>
    </row>
    <row r="4" s="81" customFormat="1" ht="27" hidden="1" spans="1:19">
      <c r="A4" s="85" t="s">
        <v>20</v>
      </c>
      <c r="B4" s="85" t="s">
        <v>21</v>
      </c>
      <c r="C4" s="85" t="s">
        <v>22</v>
      </c>
      <c r="D4" s="85" t="s">
        <v>23</v>
      </c>
      <c r="E4" s="85" t="s">
        <v>24</v>
      </c>
      <c r="F4" s="85">
        <v>77</v>
      </c>
      <c r="G4" s="85">
        <v>2024.9</v>
      </c>
      <c r="H4" s="85">
        <v>22</v>
      </c>
      <c r="I4" s="85">
        <v>77</v>
      </c>
      <c r="J4" s="85" t="s">
        <v>25</v>
      </c>
      <c r="K4" s="29" t="s">
        <v>32</v>
      </c>
      <c r="L4" s="29" t="s">
        <v>33</v>
      </c>
      <c r="M4" s="43" t="s">
        <v>28</v>
      </c>
      <c r="N4" s="100" t="s">
        <v>29</v>
      </c>
      <c r="O4" s="101" t="s">
        <v>30</v>
      </c>
      <c r="P4" s="101" t="s">
        <v>31</v>
      </c>
      <c r="Q4" s="100"/>
      <c r="R4" s="100"/>
      <c r="S4" s="100"/>
    </row>
    <row r="5" s="81" customFormat="1" ht="27" hidden="1" spans="1:19">
      <c r="A5" s="85" t="s">
        <v>20</v>
      </c>
      <c r="B5" s="85" t="s">
        <v>21</v>
      </c>
      <c r="C5" s="85" t="s">
        <v>22</v>
      </c>
      <c r="D5" s="85" t="s">
        <v>23</v>
      </c>
      <c r="E5" s="85" t="s">
        <v>24</v>
      </c>
      <c r="F5" s="85">
        <v>77</v>
      </c>
      <c r="G5" s="85">
        <v>2024.9</v>
      </c>
      <c r="H5" s="85">
        <v>22</v>
      </c>
      <c r="I5" s="85">
        <v>77</v>
      </c>
      <c r="J5" s="85" t="s">
        <v>25</v>
      </c>
      <c r="K5" s="29" t="s">
        <v>34</v>
      </c>
      <c r="L5" s="29" t="s">
        <v>35</v>
      </c>
      <c r="M5" s="45" t="s">
        <v>36</v>
      </c>
      <c r="N5" s="100" t="s">
        <v>37</v>
      </c>
      <c r="O5" s="101" t="s">
        <v>30</v>
      </c>
      <c r="P5" s="101" t="s">
        <v>31</v>
      </c>
      <c r="Q5" s="100"/>
      <c r="R5" s="100"/>
      <c r="S5" s="100"/>
    </row>
    <row r="6" s="81" customFormat="1" ht="27" hidden="1" spans="1:19">
      <c r="A6" s="85" t="s">
        <v>20</v>
      </c>
      <c r="B6" s="85" t="s">
        <v>21</v>
      </c>
      <c r="C6" s="85" t="s">
        <v>22</v>
      </c>
      <c r="D6" s="85" t="s">
        <v>23</v>
      </c>
      <c r="E6" s="85" t="s">
        <v>24</v>
      </c>
      <c r="F6" s="85">
        <v>77</v>
      </c>
      <c r="G6" s="85">
        <v>2024.9</v>
      </c>
      <c r="H6" s="85">
        <v>22</v>
      </c>
      <c r="I6" s="85">
        <v>77</v>
      </c>
      <c r="J6" s="85" t="s">
        <v>25</v>
      </c>
      <c r="K6" s="29" t="s">
        <v>38</v>
      </c>
      <c r="L6" s="29" t="s">
        <v>39</v>
      </c>
      <c r="M6" s="45" t="s">
        <v>36</v>
      </c>
      <c r="N6" s="100" t="s">
        <v>37</v>
      </c>
      <c r="O6" s="101" t="s">
        <v>30</v>
      </c>
      <c r="P6" s="101" t="s">
        <v>31</v>
      </c>
      <c r="Q6" s="100"/>
      <c r="R6" s="100"/>
      <c r="S6" s="100"/>
    </row>
    <row r="7" s="81" customFormat="1" ht="27" hidden="1" spans="1:19">
      <c r="A7" s="85" t="s">
        <v>20</v>
      </c>
      <c r="B7" s="85" t="s">
        <v>21</v>
      </c>
      <c r="C7" s="85" t="s">
        <v>22</v>
      </c>
      <c r="D7" s="85" t="s">
        <v>23</v>
      </c>
      <c r="E7" s="85" t="s">
        <v>24</v>
      </c>
      <c r="F7" s="85">
        <v>77</v>
      </c>
      <c r="G7" s="85">
        <v>2024.9</v>
      </c>
      <c r="H7" s="85">
        <v>22</v>
      </c>
      <c r="I7" s="85">
        <v>77</v>
      </c>
      <c r="J7" s="85" t="s">
        <v>25</v>
      </c>
      <c r="K7" s="29" t="s">
        <v>40</v>
      </c>
      <c r="L7" s="29" t="s">
        <v>41</v>
      </c>
      <c r="M7" s="45" t="s">
        <v>36</v>
      </c>
      <c r="N7" s="100" t="s">
        <v>37</v>
      </c>
      <c r="O7" s="101" t="s">
        <v>30</v>
      </c>
      <c r="P7" s="101" t="s">
        <v>31</v>
      </c>
      <c r="Q7" s="100"/>
      <c r="R7" s="100"/>
      <c r="S7" s="100"/>
    </row>
    <row r="8" s="81" customFormat="1" ht="36" hidden="1" spans="1:19">
      <c r="A8" s="85" t="s">
        <v>20</v>
      </c>
      <c r="B8" s="85" t="s">
        <v>21</v>
      </c>
      <c r="C8" s="85" t="s">
        <v>22</v>
      </c>
      <c r="D8" s="85" t="s">
        <v>23</v>
      </c>
      <c r="E8" s="85" t="s">
        <v>24</v>
      </c>
      <c r="F8" s="85">
        <v>77</v>
      </c>
      <c r="G8" s="85">
        <v>2024.9</v>
      </c>
      <c r="H8" s="85">
        <v>22</v>
      </c>
      <c r="I8" s="85">
        <v>77</v>
      </c>
      <c r="J8" s="85" t="s">
        <v>25</v>
      </c>
      <c r="K8" s="29" t="s">
        <v>42</v>
      </c>
      <c r="L8" s="29" t="s">
        <v>43</v>
      </c>
      <c r="M8" s="45" t="s">
        <v>44</v>
      </c>
      <c r="N8" s="100" t="s">
        <v>45</v>
      </c>
      <c r="O8" s="101" t="s">
        <v>30</v>
      </c>
      <c r="P8" s="101" t="s">
        <v>31</v>
      </c>
      <c r="Q8" s="100"/>
      <c r="R8" s="100"/>
      <c r="S8" s="100"/>
    </row>
    <row r="9" s="81" customFormat="1" ht="36" hidden="1" spans="1:19">
      <c r="A9" s="85" t="s">
        <v>20</v>
      </c>
      <c r="B9" s="85" t="s">
        <v>21</v>
      </c>
      <c r="C9" s="85" t="s">
        <v>22</v>
      </c>
      <c r="D9" s="85" t="s">
        <v>23</v>
      </c>
      <c r="E9" s="85" t="s">
        <v>24</v>
      </c>
      <c r="F9" s="85">
        <v>77</v>
      </c>
      <c r="G9" s="85">
        <v>2024.9</v>
      </c>
      <c r="H9" s="85">
        <v>22</v>
      </c>
      <c r="I9" s="85">
        <v>77</v>
      </c>
      <c r="J9" s="85" t="s">
        <v>25</v>
      </c>
      <c r="K9" s="29" t="s">
        <v>46</v>
      </c>
      <c r="L9" s="29" t="s">
        <v>47</v>
      </c>
      <c r="M9" s="45" t="s">
        <v>44</v>
      </c>
      <c r="N9" s="100" t="s">
        <v>45</v>
      </c>
      <c r="O9" s="101" t="s">
        <v>30</v>
      </c>
      <c r="P9" s="101" t="s">
        <v>31</v>
      </c>
      <c r="Q9" s="100"/>
      <c r="R9" s="100"/>
      <c r="S9" s="100"/>
    </row>
    <row r="10" s="81" customFormat="1" ht="27" hidden="1" spans="1:19">
      <c r="A10" s="85" t="s">
        <v>20</v>
      </c>
      <c r="B10" s="85" t="s">
        <v>21</v>
      </c>
      <c r="C10" s="85" t="s">
        <v>22</v>
      </c>
      <c r="D10" s="85" t="s">
        <v>23</v>
      </c>
      <c r="E10" s="85" t="s">
        <v>24</v>
      </c>
      <c r="F10" s="85">
        <v>77</v>
      </c>
      <c r="G10" s="85">
        <v>2024.9</v>
      </c>
      <c r="H10" s="85">
        <v>22</v>
      </c>
      <c r="I10" s="85">
        <v>77</v>
      </c>
      <c r="J10" s="85" t="s">
        <v>25</v>
      </c>
      <c r="K10" s="29" t="s">
        <v>48</v>
      </c>
      <c r="L10" s="29" t="s">
        <v>49</v>
      </c>
      <c r="M10" s="45" t="s">
        <v>44</v>
      </c>
      <c r="N10" s="100" t="s">
        <v>45</v>
      </c>
      <c r="O10" s="101" t="s">
        <v>30</v>
      </c>
      <c r="P10" s="101" t="s">
        <v>31</v>
      </c>
      <c r="Q10" s="100"/>
      <c r="R10" s="100"/>
      <c r="S10" s="100"/>
    </row>
    <row r="11" s="81" customFormat="1" ht="24" spans="1:19">
      <c r="A11" s="24" t="s">
        <v>20</v>
      </c>
      <c r="B11" s="24" t="s">
        <v>21</v>
      </c>
      <c r="C11" s="24" t="s">
        <v>22</v>
      </c>
      <c r="D11" s="24" t="s">
        <v>23</v>
      </c>
      <c r="E11" s="24" t="s">
        <v>24</v>
      </c>
      <c r="F11" s="24">
        <v>77</v>
      </c>
      <c r="G11" s="24">
        <v>2024.9</v>
      </c>
      <c r="H11" s="24">
        <v>22</v>
      </c>
      <c r="I11" s="24">
        <v>77</v>
      </c>
      <c r="J11" s="24" t="s">
        <v>25</v>
      </c>
      <c r="K11" s="29" t="s">
        <v>50</v>
      </c>
      <c r="L11" s="29" t="s">
        <v>51</v>
      </c>
      <c r="M11" s="15" t="s">
        <v>52</v>
      </c>
      <c r="N11" s="30" t="s">
        <v>53</v>
      </c>
      <c r="O11" s="42" t="s">
        <v>30</v>
      </c>
      <c r="P11" s="42" t="s">
        <v>31</v>
      </c>
      <c r="Q11" s="30"/>
      <c r="R11" s="30"/>
      <c r="S11" s="30"/>
    </row>
    <row r="12" s="81" customFormat="1" ht="27" hidden="1" spans="1:19">
      <c r="A12" s="85" t="s">
        <v>20</v>
      </c>
      <c r="B12" s="85" t="s">
        <v>21</v>
      </c>
      <c r="C12" s="85" t="s">
        <v>22</v>
      </c>
      <c r="D12" s="85" t="s">
        <v>23</v>
      </c>
      <c r="E12" s="85" t="s">
        <v>24</v>
      </c>
      <c r="F12" s="85">
        <v>77</v>
      </c>
      <c r="G12" s="85">
        <v>2024.9</v>
      </c>
      <c r="H12" s="85">
        <v>22</v>
      </c>
      <c r="I12" s="85">
        <v>77</v>
      </c>
      <c r="J12" s="85" t="s">
        <v>25</v>
      </c>
      <c r="K12" s="29" t="s">
        <v>54</v>
      </c>
      <c r="L12" s="29" t="s">
        <v>55</v>
      </c>
      <c r="M12" s="45" t="s">
        <v>44</v>
      </c>
      <c r="N12" s="100" t="s">
        <v>45</v>
      </c>
      <c r="O12" s="101" t="s">
        <v>30</v>
      </c>
      <c r="P12" s="101" t="s">
        <v>31</v>
      </c>
      <c r="Q12" s="100"/>
      <c r="R12" s="100"/>
      <c r="S12" s="100"/>
    </row>
    <row r="13" s="81" customFormat="1" ht="27" hidden="1" spans="1:19">
      <c r="A13" s="85" t="s">
        <v>20</v>
      </c>
      <c r="B13" s="85" t="s">
        <v>21</v>
      </c>
      <c r="C13" s="85" t="s">
        <v>22</v>
      </c>
      <c r="D13" s="85" t="s">
        <v>23</v>
      </c>
      <c r="E13" s="85" t="s">
        <v>24</v>
      </c>
      <c r="F13" s="85">
        <v>77</v>
      </c>
      <c r="G13" s="85">
        <v>2024.9</v>
      </c>
      <c r="H13" s="85">
        <v>22</v>
      </c>
      <c r="I13" s="85">
        <v>77</v>
      </c>
      <c r="J13" s="85" t="s">
        <v>25</v>
      </c>
      <c r="K13" s="29" t="s">
        <v>56</v>
      </c>
      <c r="L13" s="29" t="s">
        <v>57</v>
      </c>
      <c r="M13" s="45" t="s">
        <v>44</v>
      </c>
      <c r="N13" s="100" t="s">
        <v>45</v>
      </c>
      <c r="O13" s="101" t="s">
        <v>30</v>
      </c>
      <c r="P13" s="101" t="s">
        <v>31</v>
      </c>
      <c r="Q13" s="100"/>
      <c r="R13" s="100"/>
      <c r="S13" s="100"/>
    </row>
    <row r="14" s="81" customFormat="1" ht="27" hidden="1" spans="1:19">
      <c r="A14" s="85" t="s">
        <v>20</v>
      </c>
      <c r="B14" s="85" t="s">
        <v>21</v>
      </c>
      <c r="C14" s="85" t="s">
        <v>22</v>
      </c>
      <c r="D14" s="85" t="s">
        <v>23</v>
      </c>
      <c r="E14" s="85" t="s">
        <v>24</v>
      </c>
      <c r="F14" s="85">
        <v>77</v>
      </c>
      <c r="G14" s="85">
        <v>2024.9</v>
      </c>
      <c r="H14" s="85">
        <v>22</v>
      </c>
      <c r="I14" s="85">
        <v>77</v>
      </c>
      <c r="J14" s="85" t="s">
        <v>25</v>
      </c>
      <c r="K14" s="29" t="s">
        <v>58</v>
      </c>
      <c r="L14" s="29" t="s">
        <v>59</v>
      </c>
      <c r="M14" s="45" t="s">
        <v>44</v>
      </c>
      <c r="N14" s="100" t="s">
        <v>45</v>
      </c>
      <c r="O14" s="101" t="s">
        <v>30</v>
      </c>
      <c r="P14" s="101" t="s">
        <v>31</v>
      </c>
      <c r="Q14" s="100"/>
      <c r="R14" s="100"/>
      <c r="S14" s="100"/>
    </row>
    <row r="15" s="81" customFormat="1" ht="36" hidden="1" spans="1:19">
      <c r="A15" s="85" t="s">
        <v>20</v>
      </c>
      <c r="B15" s="85" t="s">
        <v>21</v>
      </c>
      <c r="C15" s="85" t="s">
        <v>22</v>
      </c>
      <c r="D15" s="85" t="s">
        <v>23</v>
      </c>
      <c r="E15" s="85" t="s">
        <v>24</v>
      </c>
      <c r="F15" s="85">
        <v>77</v>
      </c>
      <c r="G15" s="85">
        <v>2024.9</v>
      </c>
      <c r="H15" s="85">
        <v>22</v>
      </c>
      <c r="I15" s="85">
        <v>77</v>
      </c>
      <c r="J15" s="85" t="s">
        <v>25</v>
      </c>
      <c r="K15" s="29" t="s">
        <v>60</v>
      </c>
      <c r="L15" s="29" t="s">
        <v>61</v>
      </c>
      <c r="M15" s="45" t="s">
        <v>36</v>
      </c>
      <c r="N15" s="100" t="s">
        <v>37</v>
      </c>
      <c r="O15" s="101" t="s">
        <v>30</v>
      </c>
      <c r="P15" s="101" t="s">
        <v>31</v>
      </c>
      <c r="Q15" s="100"/>
      <c r="R15" s="100"/>
      <c r="S15" s="100"/>
    </row>
    <row r="16" s="2" customFormat="1" ht="27" hidden="1" spans="1:19">
      <c r="A16" s="32" t="s">
        <v>62</v>
      </c>
      <c r="B16" s="32" t="s">
        <v>63</v>
      </c>
      <c r="C16" s="32" t="s">
        <v>64</v>
      </c>
      <c r="D16" s="160" t="s">
        <v>65</v>
      </c>
      <c r="E16" s="160" t="s">
        <v>66</v>
      </c>
      <c r="F16" s="160">
        <v>1</v>
      </c>
      <c r="G16" s="160">
        <v>2024.6</v>
      </c>
      <c r="H16" s="160">
        <v>29</v>
      </c>
      <c r="I16" s="160">
        <v>1</v>
      </c>
      <c r="J16" s="33" t="s">
        <v>67</v>
      </c>
      <c r="K16" s="36" t="s">
        <v>68</v>
      </c>
      <c r="L16" s="37" t="s">
        <v>69</v>
      </c>
      <c r="M16" s="43" t="s">
        <v>70</v>
      </c>
      <c r="N16" s="100" t="s">
        <v>71</v>
      </c>
      <c r="O16" s="38" t="s">
        <v>72</v>
      </c>
      <c r="P16" s="38" t="s">
        <v>73</v>
      </c>
      <c r="Q16" s="128"/>
      <c r="R16" s="128"/>
      <c r="S16" s="106"/>
    </row>
    <row r="17" s="2" customFormat="1" ht="54" hidden="1" spans="1:19">
      <c r="A17" s="32" t="s">
        <v>62</v>
      </c>
      <c r="B17" s="32" t="s">
        <v>63</v>
      </c>
      <c r="C17" s="32" t="s">
        <v>64</v>
      </c>
      <c r="D17" s="87"/>
      <c r="E17" s="87"/>
      <c r="F17" s="87"/>
      <c r="G17" s="87"/>
      <c r="H17" s="87"/>
      <c r="I17" s="87"/>
      <c r="J17" s="33" t="s">
        <v>67</v>
      </c>
      <c r="K17" s="36" t="s">
        <v>74</v>
      </c>
      <c r="L17" s="37" t="s">
        <v>75</v>
      </c>
      <c r="M17" s="43" t="s">
        <v>70</v>
      </c>
      <c r="N17" s="100" t="s">
        <v>71</v>
      </c>
      <c r="O17" s="38" t="s">
        <v>72</v>
      </c>
      <c r="P17" s="38" t="s">
        <v>73</v>
      </c>
      <c r="Q17" s="128"/>
      <c r="R17" s="128"/>
      <c r="S17" s="106"/>
    </row>
    <row r="18" s="2" customFormat="1" ht="54" hidden="1" spans="1:19">
      <c r="A18" s="32" t="s">
        <v>62</v>
      </c>
      <c r="B18" s="32" t="s">
        <v>63</v>
      </c>
      <c r="C18" s="32" t="s">
        <v>64</v>
      </c>
      <c r="D18" s="88" t="s">
        <v>76</v>
      </c>
      <c r="E18" s="88" t="s">
        <v>77</v>
      </c>
      <c r="F18" s="88">
        <v>1</v>
      </c>
      <c r="G18" s="88">
        <v>2024.6</v>
      </c>
      <c r="H18" s="88">
        <v>29</v>
      </c>
      <c r="I18" s="88">
        <v>1</v>
      </c>
      <c r="J18" s="33" t="s">
        <v>67</v>
      </c>
      <c r="K18" s="36" t="s">
        <v>78</v>
      </c>
      <c r="L18" s="37" t="s">
        <v>79</v>
      </c>
      <c r="M18" s="45" t="s">
        <v>36</v>
      </c>
      <c r="N18" s="100" t="s">
        <v>37</v>
      </c>
      <c r="O18" s="38" t="s">
        <v>72</v>
      </c>
      <c r="P18" s="38" t="s">
        <v>73</v>
      </c>
      <c r="Q18" s="43"/>
      <c r="R18" s="43"/>
      <c r="S18" s="45"/>
    </row>
    <row r="19" s="2" customFormat="1" ht="27" hidden="1" spans="1:19">
      <c r="A19" s="32" t="s">
        <v>62</v>
      </c>
      <c r="B19" s="32" t="s">
        <v>63</v>
      </c>
      <c r="C19" s="32" t="s">
        <v>64</v>
      </c>
      <c r="D19" s="88" t="s">
        <v>80</v>
      </c>
      <c r="E19" s="88" t="s">
        <v>81</v>
      </c>
      <c r="F19" s="88">
        <v>1</v>
      </c>
      <c r="G19" s="88">
        <v>2024.7</v>
      </c>
      <c r="H19" s="88">
        <v>19</v>
      </c>
      <c r="I19" s="88">
        <v>1</v>
      </c>
      <c r="J19" s="33" t="s">
        <v>67</v>
      </c>
      <c r="K19" s="36" t="s">
        <v>82</v>
      </c>
      <c r="L19" s="37" t="s">
        <v>83</v>
      </c>
      <c r="M19" s="43" t="s">
        <v>84</v>
      </c>
      <c r="N19" s="43" t="s">
        <v>84</v>
      </c>
      <c r="O19" s="38" t="s">
        <v>72</v>
      </c>
      <c r="P19" s="38" t="s">
        <v>73</v>
      </c>
      <c r="Q19" s="43"/>
      <c r="R19" s="43"/>
      <c r="S19" s="45"/>
    </row>
    <row r="20" s="2" customFormat="1" ht="27" hidden="1" spans="1:19">
      <c r="A20" s="32" t="s">
        <v>62</v>
      </c>
      <c r="B20" s="32" t="s">
        <v>63</v>
      </c>
      <c r="C20" s="32" t="s">
        <v>64</v>
      </c>
      <c r="D20" s="89" t="s">
        <v>85</v>
      </c>
      <c r="E20" s="89" t="s">
        <v>86</v>
      </c>
      <c r="F20" s="89">
        <v>1</v>
      </c>
      <c r="G20" s="89">
        <v>2025.3</v>
      </c>
      <c r="H20" s="89">
        <v>21</v>
      </c>
      <c r="I20" s="89">
        <v>1</v>
      </c>
      <c r="J20" s="33" t="s">
        <v>67</v>
      </c>
      <c r="K20" s="36" t="s">
        <v>87</v>
      </c>
      <c r="L20" s="37" t="s">
        <v>88</v>
      </c>
      <c r="M20" s="45" t="s">
        <v>36</v>
      </c>
      <c r="N20" s="100" t="s">
        <v>37</v>
      </c>
      <c r="O20" s="38" t="s">
        <v>72</v>
      </c>
      <c r="P20" s="38" t="s">
        <v>73</v>
      </c>
      <c r="Q20" s="43"/>
      <c r="R20" s="43"/>
      <c r="S20" s="45"/>
    </row>
    <row r="21" s="2" customFormat="1" ht="67.5" hidden="1" spans="1:19">
      <c r="A21" s="32" t="s">
        <v>62</v>
      </c>
      <c r="B21" s="32" t="s">
        <v>63</v>
      </c>
      <c r="C21" s="32" t="s">
        <v>64</v>
      </c>
      <c r="D21" s="90" t="s">
        <v>89</v>
      </c>
      <c r="E21" s="90" t="s">
        <v>90</v>
      </c>
      <c r="F21" s="89">
        <v>1</v>
      </c>
      <c r="G21" s="89">
        <v>2024.5</v>
      </c>
      <c r="H21" s="89">
        <v>13</v>
      </c>
      <c r="I21" s="89">
        <v>1</v>
      </c>
      <c r="J21" s="33" t="s">
        <v>67</v>
      </c>
      <c r="K21" s="36" t="s">
        <v>91</v>
      </c>
      <c r="L21" s="37" t="s">
        <v>92</v>
      </c>
      <c r="M21" s="45" t="s">
        <v>44</v>
      </c>
      <c r="N21" s="100" t="s">
        <v>45</v>
      </c>
      <c r="O21" s="38" t="s">
        <v>72</v>
      </c>
      <c r="P21" s="38" t="s">
        <v>73</v>
      </c>
      <c r="Q21" s="43"/>
      <c r="R21" s="44"/>
      <c r="S21" s="45"/>
    </row>
    <row r="22" s="2" customFormat="1" ht="27" hidden="1" spans="1:19">
      <c r="A22" s="32" t="s">
        <v>62</v>
      </c>
      <c r="B22" s="32" t="s">
        <v>63</v>
      </c>
      <c r="C22" s="32" t="s">
        <v>64</v>
      </c>
      <c r="D22" s="90" t="s">
        <v>93</v>
      </c>
      <c r="E22" s="90" t="s">
        <v>94</v>
      </c>
      <c r="F22" s="89">
        <v>4</v>
      </c>
      <c r="G22" s="89">
        <v>2025.4</v>
      </c>
      <c r="H22" s="89">
        <v>3</v>
      </c>
      <c r="I22" s="89">
        <v>4</v>
      </c>
      <c r="J22" s="33" t="s">
        <v>67</v>
      </c>
      <c r="K22" s="36" t="s">
        <v>95</v>
      </c>
      <c r="L22" s="37" t="s">
        <v>96</v>
      </c>
      <c r="M22" s="45" t="s">
        <v>97</v>
      </c>
      <c r="N22" s="100" t="s">
        <v>98</v>
      </c>
      <c r="O22" s="38" t="s">
        <v>72</v>
      </c>
      <c r="P22" s="38" t="s">
        <v>73</v>
      </c>
      <c r="Q22" s="43"/>
      <c r="R22" s="44"/>
      <c r="S22" s="45"/>
    </row>
    <row r="23" s="2" customFormat="1" ht="148.5" hidden="1" spans="1:19">
      <c r="A23" s="32" t="s">
        <v>62</v>
      </c>
      <c r="B23" s="32" t="s">
        <v>63</v>
      </c>
      <c r="C23" s="32" t="s">
        <v>64</v>
      </c>
      <c r="D23" s="33" t="s">
        <v>99</v>
      </c>
      <c r="E23" s="33" t="s">
        <v>100</v>
      </c>
      <c r="F23" s="33" t="s">
        <v>101</v>
      </c>
      <c r="G23" s="33">
        <v>2025.4</v>
      </c>
      <c r="H23" s="33">
        <v>8</v>
      </c>
      <c r="I23" s="33" t="s">
        <v>405</v>
      </c>
      <c r="J23" s="33" t="s">
        <v>67</v>
      </c>
      <c r="K23" s="36" t="s">
        <v>102</v>
      </c>
      <c r="L23" s="37" t="s">
        <v>103</v>
      </c>
      <c r="M23" s="153" t="s">
        <v>28</v>
      </c>
      <c r="N23" s="153" t="s">
        <v>29</v>
      </c>
      <c r="O23" s="38" t="s">
        <v>72</v>
      </c>
      <c r="P23" s="38" t="s">
        <v>73</v>
      </c>
      <c r="Q23" s="43"/>
      <c r="R23" s="44"/>
      <c r="S23" s="45"/>
    </row>
    <row r="24" s="2" customFormat="1" ht="54" hidden="1" spans="1:19">
      <c r="A24" s="32" t="s">
        <v>62</v>
      </c>
      <c r="B24" s="32" t="s">
        <v>63</v>
      </c>
      <c r="C24" s="32" t="s">
        <v>64</v>
      </c>
      <c r="D24" s="33" t="s">
        <v>99</v>
      </c>
      <c r="E24" s="33" t="s">
        <v>100</v>
      </c>
      <c r="F24" s="33" t="s">
        <v>101</v>
      </c>
      <c r="G24" s="33">
        <v>2025.4</v>
      </c>
      <c r="H24" s="33">
        <v>8</v>
      </c>
      <c r="I24" s="33" t="s">
        <v>101</v>
      </c>
      <c r="J24" s="33" t="s">
        <v>67</v>
      </c>
      <c r="K24" s="36" t="s">
        <v>104</v>
      </c>
      <c r="L24" s="37" t="s">
        <v>406</v>
      </c>
      <c r="M24" s="153" t="s">
        <v>70</v>
      </c>
      <c r="N24" s="153" t="s">
        <v>71</v>
      </c>
      <c r="O24" s="38" t="s">
        <v>72</v>
      </c>
      <c r="P24" s="38" t="s">
        <v>73</v>
      </c>
      <c r="Q24" s="43"/>
      <c r="R24" s="44"/>
      <c r="S24" s="45"/>
    </row>
    <row r="25" s="2" customFormat="1" ht="60" spans="1:19">
      <c r="A25" s="50" t="s">
        <v>62</v>
      </c>
      <c r="B25" s="50" t="s">
        <v>63</v>
      </c>
      <c r="C25" s="50" t="s">
        <v>64</v>
      </c>
      <c r="D25" s="51" t="s">
        <v>99</v>
      </c>
      <c r="E25" s="51" t="s">
        <v>100</v>
      </c>
      <c r="F25" s="51" t="s">
        <v>101</v>
      </c>
      <c r="G25" s="51">
        <v>2025.4</v>
      </c>
      <c r="H25" s="51">
        <v>8</v>
      </c>
      <c r="I25" s="51" t="s">
        <v>101</v>
      </c>
      <c r="J25" s="51" t="s">
        <v>67</v>
      </c>
      <c r="K25" s="58" t="s">
        <v>433</v>
      </c>
      <c r="L25" s="59" t="s">
        <v>408</v>
      </c>
      <c r="M25" s="59" t="s">
        <v>108</v>
      </c>
      <c r="N25" s="59" t="s">
        <v>109</v>
      </c>
      <c r="O25" s="60" t="s">
        <v>72</v>
      </c>
      <c r="P25" s="60" t="s">
        <v>73</v>
      </c>
      <c r="Q25" s="14"/>
      <c r="R25" s="76"/>
      <c r="S25" s="15"/>
    </row>
    <row r="26" s="2" customFormat="1" ht="72" spans="1:19">
      <c r="A26" s="50" t="s">
        <v>62</v>
      </c>
      <c r="B26" s="50" t="s">
        <v>63</v>
      </c>
      <c r="C26" s="50" t="s">
        <v>64</v>
      </c>
      <c r="D26" s="51" t="s">
        <v>99</v>
      </c>
      <c r="E26" s="51" t="s">
        <v>100</v>
      </c>
      <c r="F26" s="51" t="s">
        <v>101</v>
      </c>
      <c r="G26" s="51">
        <v>2025.4</v>
      </c>
      <c r="H26" s="51">
        <v>8</v>
      </c>
      <c r="I26" s="51" t="s">
        <v>101</v>
      </c>
      <c r="J26" s="51" t="s">
        <v>67</v>
      </c>
      <c r="K26" s="58" t="s">
        <v>409</v>
      </c>
      <c r="L26" s="59" t="s">
        <v>410</v>
      </c>
      <c r="M26" s="59" t="s">
        <v>108</v>
      </c>
      <c r="N26" s="59" t="s">
        <v>109</v>
      </c>
      <c r="O26" s="60" t="s">
        <v>72</v>
      </c>
      <c r="P26" s="60" t="s">
        <v>73</v>
      </c>
      <c r="Q26" s="14"/>
      <c r="R26" s="76"/>
      <c r="S26" s="15"/>
    </row>
    <row r="27" s="2" customFormat="1" ht="60" spans="1:19">
      <c r="A27" s="50" t="s">
        <v>62</v>
      </c>
      <c r="B27" s="50" t="s">
        <v>63</v>
      </c>
      <c r="C27" s="50" t="s">
        <v>64</v>
      </c>
      <c r="D27" s="51" t="s">
        <v>99</v>
      </c>
      <c r="E27" s="51" t="s">
        <v>100</v>
      </c>
      <c r="F27" s="51" t="s">
        <v>101</v>
      </c>
      <c r="G27" s="51">
        <v>2025.4</v>
      </c>
      <c r="H27" s="51">
        <v>8</v>
      </c>
      <c r="I27" s="51" t="s">
        <v>101</v>
      </c>
      <c r="J27" s="51" t="s">
        <v>67</v>
      </c>
      <c r="K27" s="58" t="s">
        <v>112</v>
      </c>
      <c r="L27" s="59" t="s">
        <v>113</v>
      </c>
      <c r="M27" s="59" t="s">
        <v>114</v>
      </c>
      <c r="N27" s="59" t="s">
        <v>115</v>
      </c>
      <c r="O27" s="60" t="s">
        <v>72</v>
      </c>
      <c r="P27" s="60" t="s">
        <v>73</v>
      </c>
      <c r="Q27" s="14"/>
      <c r="R27" s="76"/>
      <c r="S27" s="15"/>
    </row>
    <row r="28" s="2" customFormat="1" ht="48" spans="1:19">
      <c r="A28" s="50" t="s">
        <v>62</v>
      </c>
      <c r="B28" s="50" t="s">
        <v>63</v>
      </c>
      <c r="C28" s="50" t="s">
        <v>64</v>
      </c>
      <c r="D28" s="51" t="s">
        <v>99</v>
      </c>
      <c r="E28" s="51" t="s">
        <v>100</v>
      </c>
      <c r="F28" s="51" t="s">
        <v>101</v>
      </c>
      <c r="G28" s="51">
        <v>2025.4</v>
      </c>
      <c r="H28" s="51">
        <v>8</v>
      </c>
      <c r="I28" s="51" t="s">
        <v>101</v>
      </c>
      <c r="J28" s="51" t="s">
        <v>67</v>
      </c>
      <c r="K28" s="58" t="s">
        <v>411</v>
      </c>
      <c r="L28" s="59" t="s">
        <v>412</v>
      </c>
      <c r="M28" s="59" t="s">
        <v>118</v>
      </c>
      <c r="N28" s="59" t="s">
        <v>119</v>
      </c>
      <c r="O28" s="60" t="s">
        <v>72</v>
      </c>
      <c r="P28" s="60" t="s">
        <v>73</v>
      </c>
      <c r="Q28" s="14"/>
      <c r="R28" s="76"/>
      <c r="S28" s="15"/>
    </row>
    <row r="29" s="2" customFormat="1" ht="42.75" hidden="1" spans="1:19">
      <c r="A29" s="32" t="s">
        <v>62</v>
      </c>
      <c r="B29" s="32" t="s">
        <v>63</v>
      </c>
      <c r="C29" s="32" t="s">
        <v>64</v>
      </c>
      <c r="D29" s="33" t="s">
        <v>99</v>
      </c>
      <c r="E29" s="33" t="s">
        <v>100</v>
      </c>
      <c r="F29" s="33" t="s">
        <v>101</v>
      </c>
      <c r="G29" s="33">
        <v>2025.4</v>
      </c>
      <c r="H29" s="33">
        <v>8</v>
      </c>
      <c r="I29" s="33" t="s">
        <v>101</v>
      </c>
      <c r="J29" s="33" t="s">
        <v>67</v>
      </c>
      <c r="K29" s="36" t="s">
        <v>120</v>
      </c>
      <c r="L29" s="37" t="s">
        <v>121</v>
      </c>
      <c r="M29" s="37" t="s">
        <v>70</v>
      </c>
      <c r="N29" s="37" t="s">
        <v>122</v>
      </c>
      <c r="O29" s="38" t="s">
        <v>72</v>
      </c>
      <c r="P29" s="38" t="s">
        <v>73</v>
      </c>
      <c r="Q29" s="43"/>
      <c r="R29" s="44"/>
      <c r="S29" s="45"/>
    </row>
    <row r="30" s="2" customFormat="1" ht="42.75" hidden="1" spans="1:19">
      <c r="A30" s="32" t="s">
        <v>62</v>
      </c>
      <c r="B30" s="32" t="s">
        <v>63</v>
      </c>
      <c r="C30" s="32" t="s">
        <v>64</v>
      </c>
      <c r="D30" s="33" t="s">
        <v>99</v>
      </c>
      <c r="E30" s="33" t="s">
        <v>100</v>
      </c>
      <c r="F30" s="33" t="s">
        <v>101</v>
      </c>
      <c r="G30" s="33">
        <v>2025.4</v>
      </c>
      <c r="H30" s="33">
        <v>8</v>
      </c>
      <c r="I30" s="33" t="s">
        <v>101</v>
      </c>
      <c r="J30" s="33" t="s">
        <v>67</v>
      </c>
      <c r="K30" s="36" t="s">
        <v>123</v>
      </c>
      <c r="L30" s="37" t="s">
        <v>124</v>
      </c>
      <c r="M30" s="37" t="s">
        <v>125</v>
      </c>
      <c r="N30" s="37" t="s">
        <v>126</v>
      </c>
      <c r="O30" s="38" t="s">
        <v>72</v>
      </c>
      <c r="P30" s="38" t="s">
        <v>73</v>
      </c>
      <c r="Q30" s="43"/>
      <c r="R30" s="44"/>
      <c r="S30" s="45"/>
    </row>
    <row r="31" s="2" customFormat="1" ht="85.5" hidden="1" spans="1:19">
      <c r="A31" s="32" t="s">
        <v>62</v>
      </c>
      <c r="B31" s="32" t="s">
        <v>63</v>
      </c>
      <c r="C31" s="32" t="s">
        <v>64</v>
      </c>
      <c r="D31" s="33" t="s">
        <v>127</v>
      </c>
      <c r="E31" s="33" t="s">
        <v>128</v>
      </c>
      <c r="F31" s="33" t="s">
        <v>129</v>
      </c>
      <c r="G31" s="33">
        <v>2025.4</v>
      </c>
      <c r="H31" s="33">
        <v>14</v>
      </c>
      <c r="I31" s="33" t="s">
        <v>405</v>
      </c>
      <c r="J31" s="33" t="s">
        <v>67</v>
      </c>
      <c r="K31" s="36" t="s">
        <v>130</v>
      </c>
      <c r="L31" s="37" t="s">
        <v>131</v>
      </c>
      <c r="M31" s="37" t="s">
        <v>132</v>
      </c>
      <c r="N31" s="37" t="s">
        <v>133</v>
      </c>
      <c r="O31" s="38" t="s">
        <v>72</v>
      </c>
      <c r="P31" s="38" t="s">
        <v>73</v>
      </c>
      <c r="Q31" s="43"/>
      <c r="R31" s="44"/>
      <c r="S31" s="45"/>
    </row>
    <row r="32" s="2" customFormat="1" ht="85.5" hidden="1" spans="1:19">
      <c r="A32" s="32" t="s">
        <v>62</v>
      </c>
      <c r="B32" s="32" t="s">
        <v>63</v>
      </c>
      <c r="C32" s="32" t="s">
        <v>64</v>
      </c>
      <c r="D32" s="33" t="s">
        <v>127</v>
      </c>
      <c r="E32" s="33" t="s">
        <v>128</v>
      </c>
      <c r="F32" s="33" t="s">
        <v>129</v>
      </c>
      <c r="G32" s="33">
        <v>2025.4</v>
      </c>
      <c r="H32" s="33">
        <v>14</v>
      </c>
      <c r="I32" s="33" t="s">
        <v>129</v>
      </c>
      <c r="J32" s="33" t="s">
        <v>67</v>
      </c>
      <c r="K32" s="36" t="s">
        <v>134</v>
      </c>
      <c r="L32" s="37" t="s">
        <v>135</v>
      </c>
      <c r="M32" s="37"/>
      <c r="N32" s="37"/>
      <c r="O32" s="38" t="s">
        <v>72</v>
      </c>
      <c r="P32" s="38" t="s">
        <v>73</v>
      </c>
      <c r="Q32" s="43"/>
      <c r="R32" s="44"/>
      <c r="S32" s="45"/>
    </row>
    <row r="33" s="2" customFormat="1" ht="94.5" hidden="1" spans="1:19">
      <c r="A33" s="32" t="s">
        <v>62</v>
      </c>
      <c r="B33" s="32" t="s">
        <v>63</v>
      </c>
      <c r="C33" s="32" t="s">
        <v>64</v>
      </c>
      <c r="D33" s="33" t="s">
        <v>127</v>
      </c>
      <c r="E33" s="33" t="s">
        <v>128</v>
      </c>
      <c r="F33" s="33" t="s">
        <v>129</v>
      </c>
      <c r="G33" s="33">
        <v>2025.4</v>
      </c>
      <c r="H33" s="33">
        <v>14</v>
      </c>
      <c r="I33" s="33" t="s">
        <v>129</v>
      </c>
      <c r="J33" s="33" t="s">
        <v>67</v>
      </c>
      <c r="K33" s="36" t="s">
        <v>413</v>
      </c>
      <c r="L33" s="37" t="s">
        <v>414</v>
      </c>
      <c r="M33" s="37" t="s">
        <v>138</v>
      </c>
      <c r="N33" s="37" t="s">
        <v>139</v>
      </c>
      <c r="O33" s="38" t="s">
        <v>72</v>
      </c>
      <c r="P33" s="38" t="s">
        <v>73</v>
      </c>
      <c r="Q33" s="43"/>
      <c r="R33" s="44"/>
      <c r="S33" s="45"/>
    </row>
    <row r="34" s="2" customFormat="1" ht="85.5" hidden="1" spans="1:19">
      <c r="A34" s="32" t="s">
        <v>62</v>
      </c>
      <c r="B34" s="32" t="s">
        <v>63</v>
      </c>
      <c r="C34" s="32" t="s">
        <v>64</v>
      </c>
      <c r="D34" s="33" t="s">
        <v>127</v>
      </c>
      <c r="E34" s="33" t="s">
        <v>128</v>
      </c>
      <c r="F34" s="33" t="s">
        <v>129</v>
      </c>
      <c r="G34" s="33">
        <v>2025.4</v>
      </c>
      <c r="H34" s="33">
        <v>14</v>
      </c>
      <c r="I34" s="33" t="s">
        <v>129</v>
      </c>
      <c r="J34" s="33" t="s">
        <v>67</v>
      </c>
      <c r="K34" s="36" t="s">
        <v>140</v>
      </c>
      <c r="L34" s="37" t="s">
        <v>415</v>
      </c>
      <c r="M34" s="37" t="s">
        <v>132</v>
      </c>
      <c r="N34" s="37" t="s">
        <v>133</v>
      </c>
      <c r="O34" s="38" t="s">
        <v>72</v>
      </c>
      <c r="P34" s="38" t="s">
        <v>73</v>
      </c>
      <c r="Q34" s="43"/>
      <c r="R34" s="44"/>
      <c r="S34" s="45"/>
    </row>
    <row r="35" s="2" customFormat="1" ht="85.5" hidden="1" spans="1:19">
      <c r="A35" s="32" t="s">
        <v>62</v>
      </c>
      <c r="B35" s="32" t="s">
        <v>63</v>
      </c>
      <c r="C35" s="32" t="s">
        <v>64</v>
      </c>
      <c r="D35" s="33" t="s">
        <v>127</v>
      </c>
      <c r="E35" s="33" t="s">
        <v>128</v>
      </c>
      <c r="F35" s="33" t="s">
        <v>129</v>
      </c>
      <c r="G35" s="33">
        <v>2025.4</v>
      </c>
      <c r="H35" s="33">
        <v>14</v>
      </c>
      <c r="I35" s="33" t="s">
        <v>129</v>
      </c>
      <c r="J35" s="33" t="s">
        <v>67</v>
      </c>
      <c r="K35" s="36" t="s">
        <v>142</v>
      </c>
      <c r="L35" s="37" t="s">
        <v>143</v>
      </c>
      <c r="M35" s="37" t="s">
        <v>84</v>
      </c>
      <c r="N35" s="37" t="s">
        <v>84</v>
      </c>
      <c r="O35" s="38" t="s">
        <v>72</v>
      </c>
      <c r="P35" s="38" t="s">
        <v>73</v>
      </c>
      <c r="Q35" s="43"/>
      <c r="R35" s="44"/>
      <c r="S35" s="45"/>
    </row>
    <row r="36" s="2" customFormat="1" ht="85.5" hidden="1" spans="1:19">
      <c r="A36" s="32" t="s">
        <v>62</v>
      </c>
      <c r="B36" s="32" t="s">
        <v>63</v>
      </c>
      <c r="C36" s="32" t="s">
        <v>64</v>
      </c>
      <c r="D36" s="33" t="s">
        <v>127</v>
      </c>
      <c r="E36" s="33" t="s">
        <v>128</v>
      </c>
      <c r="F36" s="33" t="s">
        <v>129</v>
      </c>
      <c r="G36" s="33">
        <v>2025.4</v>
      </c>
      <c r="H36" s="33">
        <v>14</v>
      </c>
      <c r="I36" s="33" t="s">
        <v>129</v>
      </c>
      <c r="J36" s="33" t="s">
        <v>67</v>
      </c>
      <c r="K36" s="36" t="s">
        <v>416</v>
      </c>
      <c r="L36" s="37" t="s">
        <v>145</v>
      </c>
      <c r="M36" s="37" t="s">
        <v>28</v>
      </c>
      <c r="N36" s="37" t="s">
        <v>29</v>
      </c>
      <c r="O36" s="38" t="s">
        <v>72</v>
      </c>
      <c r="P36" s="38" t="s">
        <v>73</v>
      </c>
      <c r="Q36" s="43"/>
      <c r="R36" s="44"/>
      <c r="S36" s="45"/>
    </row>
    <row r="37" s="2" customFormat="1" ht="162" hidden="1" spans="1:19">
      <c r="A37" s="32" t="s">
        <v>62</v>
      </c>
      <c r="B37" s="32" t="s">
        <v>63</v>
      </c>
      <c r="C37" s="32" t="s">
        <v>64</v>
      </c>
      <c r="D37" s="33" t="s">
        <v>127</v>
      </c>
      <c r="E37" s="33" t="s">
        <v>128</v>
      </c>
      <c r="F37" s="33" t="s">
        <v>129</v>
      </c>
      <c r="G37" s="33">
        <v>2025.4</v>
      </c>
      <c r="H37" s="33">
        <v>14</v>
      </c>
      <c r="I37" s="33" t="s">
        <v>129</v>
      </c>
      <c r="J37" s="33" t="s">
        <v>67</v>
      </c>
      <c r="K37" s="36" t="s">
        <v>417</v>
      </c>
      <c r="L37" s="37" t="s">
        <v>418</v>
      </c>
      <c r="M37" s="37" t="s">
        <v>148</v>
      </c>
      <c r="N37" s="37" t="s">
        <v>148</v>
      </c>
      <c r="O37" s="38" t="s">
        <v>72</v>
      </c>
      <c r="P37" s="38" t="s">
        <v>73</v>
      </c>
      <c r="Q37" s="43"/>
      <c r="R37" s="44"/>
      <c r="S37" s="45"/>
    </row>
    <row r="38" s="2" customFormat="1" ht="27" hidden="1" spans="1:19">
      <c r="A38" s="161" t="s">
        <v>149</v>
      </c>
      <c r="B38" s="94" t="s">
        <v>21</v>
      </c>
      <c r="C38" s="94" t="s">
        <v>150</v>
      </c>
      <c r="D38" s="94" t="s">
        <v>151</v>
      </c>
      <c r="E38" s="94" t="s">
        <v>152</v>
      </c>
      <c r="F38" s="94">
        <v>4</v>
      </c>
      <c r="G38" s="94">
        <v>2024.12</v>
      </c>
      <c r="H38" s="94">
        <v>30</v>
      </c>
      <c r="I38" s="94">
        <v>4</v>
      </c>
      <c r="J38" s="115" t="s">
        <v>153</v>
      </c>
      <c r="K38" s="37" t="s">
        <v>154</v>
      </c>
      <c r="L38" s="37" t="s">
        <v>155</v>
      </c>
      <c r="M38" s="153" t="s">
        <v>70</v>
      </c>
      <c r="N38" s="153" t="s">
        <v>156</v>
      </c>
      <c r="O38" s="101" t="s">
        <v>72</v>
      </c>
      <c r="P38" s="101" t="s">
        <v>157</v>
      </c>
      <c r="Q38" s="43"/>
      <c r="R38" s="101"/>
      <c r="S38" s="45"/>
    </row>
    <row r="39" s="2" customFormat="1" ht="27" hidden="1" spans="1:19">
      <c r="A39" s="161" t="s">
        <v>149</v>
      </c>
      <c r="B39" s="94" t="s">
        <v>21</v>
      </c>
      <c r="C39" s="94" t="s">
        <v>150</v>
      </c>
      <c r="D39" s="94" t="s">
        <v>151</v>
      </c>
      <c r="E39" s="94" t="s">
        <v>152</v>
      </c>
      <c r="F39" s="94">
        <v>4</v>
      </c>
      <c r="G39" s="94">
        <v>2024.12</v>
      </c>
      <c r="H39" s="94">
        <v>30</v>
      </c>
      <c r="I39" s="94">
        <v>4</v>
      </c>
      <c r="J39" s="115" t="s">
        <v>153</v>
      </c>
      <c r="K39" s="37" t="s">
        <v>158</v>
      </c>
      <c r="L39" s="37" t="s">
        <v>159</v>
      </c>
      <c r="M39" s="153" t="s">
        <v>36</v>
      </c>
      <c r="N39" s="153" t="s">
        <v>160</v>
      </c>
      <c r="O39" s="101" t="s">
        <v>72</v>
      </c>
      <c r="P39" s="101" t="s">
        <v>157</v>
      </c>
      <c r="Q39" s="43"/>
      <c r="R39" s="101"/>
      <c r="S39" s="45"/>
    </row>
    <row r="40" s="2" customFormat="1" ht="27" hidden="1" spans="1:19">
      <c r="A40" s="161" t="s">
        <v>149</v>
      </c>
      <c r="B40" s="94" t="s">
        <v>21</v>
      </c>
      <c r="C40" s="94" t="s">
        <v>150</v>
      </c>
      <c r="D40" s="94" t="s">
        <v>151</v>
      </c>
      <c r="E40" s="94" t="s">
        <v>152</v>
      </c>
      <c r="F40" s="94">
        <v>4</v>
      </c>
      <c r="G40" s="94">
        <v>2024.12</v>
      </c>
      <c r="H40" s="94">
        <v>30</v>
      </c>
      <c r="I40" s="94">
        <v>4</v>
      </c>
      <c r="J40" s="115" t="s">
        <v>153</v>
      </c>
      <c r="K40" s="37" t="s">
        <v>161</v>
      </c>
      <c r="L40" s="37" t="s">
        <v>162</v>
      </c>
      <c r="M40" s="153" t="s">
        <v>36</v>
      </c>
      <c r="N40" s="153" t="s">
        <v>160</v>
      </c>
      <c r="O40" s="101" t="s">
        <v>72</v>
      </c>
      <c r="P40" s="101" t="s">
        <v>157</v>
      </c>
      <c r="Q40" s="43"/>
      <c r="R40" s="101"/>
      <c r="S40" s="45"/>
    </row>
    <row r="41" s="2" customFormat="1" ht="72" hidden="1" spans="1:19">
      <c r="A41" s="161" t="s">
        <v>149</v>
      </c>
      <c r="B41" s="27" t="s">
        <v>21</v>
      </c>
      <c r="C41" s="27" t="s">
        <v>163</v>
      </c>
      <c r="D41" s="15" t="s">
        <v>164</v>
      </c>
      <c r="E41" s="27" t="s">
        <v>165</v>
      </c>
      <c r="F41" s="27">
        <v>14</v>
      </c>
      <c r="G41" s="27">
        <v>2024.1</v>
      </c>
      <c r="H41" s="27">
        <v>2</v>
      </c>
      <c r="I41" s="27">
        <v>14</v>
      </c>
      <c r="J41" s="115" t="s">
        <v>153</v>
      </c>
      <c r="K41" s="162" t="s">
        <v>166</v>
      </c>
      <c r="L41" s="153" t="s">
        <v>167</v>
      </c>
      <c r="M41" s="153" t="s">
        <v>70</v>
      </c>
      <c r="N41" s="153" t="s">
        <v>168</v>
      </c>
      <c r="O41" s="100" t="s">
        <v>169</v>
      </c>
      <c r="P41" s="100" t="s">
        <v>169</v>
      </c>
      <c r="Q41" s="43"/>
      <c r="R41" s="43"/>
      <c r="S41" s="45"/>
    </row>
    <row r="42" s="82" customFormat="1" ht="27" hidden="1" spans="1:19">
      <c r="A42" s="33" t="s">
        <v>170</v>
      </c>
      <c r="B42" s="96" t="s">
        <v>63</v>
      </c>
      <c r="C42" s="96" t="s">
        <v>171</v>
      </c>
      <c r="D42" s="96" t="s">
        <v>172</v>
      </c>
      <c r="E42" s="96" t="s">
        <v>173</v>
      </c>
      <c r="F42" s="96">
        <v>2</v>
      </c>
      <c r="G42" s="96">
        <v>2025.3</v>
      </c>
      <c r="H42" s="96">
        <v>18</v>
      </c>
      <c r="I42" s="96">
        <v>2</v>
      </c>
      <c r="J42" s="115" t="s">
        <v>153</v>
      </c>
      <c r="K42" s="116" t="s">
        <v>174</v>
      </c>
      <c r="L42" s="116" t="s">
        <v>175</v>
      </c>
      <c r="M42" s="45" t="s">
        <v>28</v>
      </c>
      <c r="N42" s="45" t="s">
        <v>176</v>
      </c>
      <c r="O42" s="118" t="s">
        <v>72</v>
      </c>
      <c r="P42" s="118" t="s">
        <v>73</v>
      </c>
      <c r="Q42" s="43"/>
      <c r="R42" s="43"/>
      <c r="S42" s="45"/>
    </row>
    <row r="43" s="82" customFormat="1" ht="27" hidden="1" spans="1:19">
      <c r="A43" s="33" t="s">
        <v>170</v>
      </c>
      <c r="B43" s="96" t="s">
        <v>63</v>
      </c>
      <c r="C43" s="96" t="s">
        <v>171</v>
      </c>
      <c r="D43" s="96" t="s">
        <v>172</v>
      </c>
      <c r="E43" s="96" t="s">
        <v>173</v>
      </c>
      <c r="F43" s="96">
        <v>2</v>
      </c>
      <c r="G43" s="96">
        <v>2025.3</v>
      </c>
      <c r="H43" s="96">
        <v>18</v>
      </c>
      <c r="I43" s="96">
        <v>2</v>
      </c>
      <c r="J43" s="115" t="s">
        <v>153</v>
      </c>
      <c r="K43" s="116" t="s">
        <v>177</v>
      </c>
      <c r="L43" s="117" t="s">
        <v>178</v>
      </c>
      <c r="M43" s="117" t="s">
        <v>36</v>
      </c>
      <c r="N43" s="45" t="s">
        <v>160</v>
      </c>
      <c r="O43" s="118" t="s">
        <v>72</v>
      </c>
      <c r="P43" s="118" t="s">
        <v>73</v>
      </c>
      <c r="Q43" s="43"/>
      <c r="R43" s="43"/>
      <c r="S43" s="45"/>
    </row>
    <row r="44" s="82" customFormat="1" ht="40.5" hidden="1" spans="1:19">
      <c r="A44" s="33" t="s">
        <v>170</v>
      </c>
      <c r="B44" s="96" t="s">
        <v>63</v>
      </c>
      <c r="C44" s="96" t="s">
        <v>171</v>
      </c>
      <c r="D44" s="96" t="s">
        <v>172</v>
      </c>
      <c r="E44" s="96" t="s">
        <v>173</v>
      </c>
      <c r="F44" s="96">
        <v>2</v>
      </c>
      <c r="G44" s="96">
        <v>2025.3</v>
      </c>
      <c r="H44" s="96">
        <v>18</v>
      </c>
      <c r="I44" s="96">
        <v>2</v>
      </c>
      <c r="J44" s="115" t="s">
        <v>153</v>
      </c>
      <c r="K44" s="116" t="s">
        <v>179</v>
      </c>
      <c r="L44" s="116" t="s">
        <v>180</v>
      </c>
      <c r="M44" s="117" t="s">
        <v>36</v>
      </c>
      <c r="N44" s="45" t="s">
        <v>160</v>
      </c>
      <c r="O44" s="118" t="s">
        <v>72</v>
      </c>
      <c r="P44" s="118" t="s">
        <v>73</v>
      </c>
      <c r="Q44" s="43"/>
      <c r="R44" s="43"/>
      <c r="S44" s="45"/>
    </row>
    <row r="45" s="82" customFormat="1" ht="40.5" hidden="1" spans="1:19">
      <c r="A45" s="33" t="s">
        <v>170</v>
      </c>
      <c r="B45" s="96" t="s">
        <v>63</v>
      </c>
      <c r="C45" s="96" t="s">
        <v>171</v>
      </c>
      <c r="D45" s="96" t="s">
        <v>172</v>
      </c>
      <c r="E45" s="96" t="s">
        <v>173</v>
      </c>
      <c r="F45" s="96">
        <v>2</v>
      </c>
      <c r="G45" s="96">
        <v>2025.3</v>
      </c>
      <c r="H45" s="96">
        <v>18</v>
      </c>
      <c r="I45" s="96">
        <v>2</v>
      </c>
      <c r="J45" s="115" t="s">
        <v>153</v>
      </c>
      <c r="K45" s="116" t="s">
        <v>181</v>
      </c>
      <c r="L45" s="116" t="s">
        <v>182</v>
      </c>
      <c r="M45" s="117" t="s">
        <v>36</v>
      </c>
      <c r="N45" s="45" t="s">
        <v>160</v>
      </c>
      <c r="O45" s="118" t="s">
        <v>72</v>
      </c>
      <c r="P45" s="118" t="s">
        <v>73</v>
      </c>
      <c r="Q45" s="43"/>
      <c r="R45" s="43"/>
      <c r="S45" s="45"/>
    </row>
    <row r="46" s="82" customFormat="1" ht="27" hidden="1" spans="1:19">
      <c r="A46" s="33" t="s">
        <v>170</v>
      </c>
      <c r="B46" s="96" t="s">
        <v>63</v>
      </c>
      <c r="C46" s="96" t="s">
        <v>171</v>
      </c>
      <c r="D46" s="96" t="s">
        <v>172</v>
      </c>
      <c r="E46" s="96" t="s">
        <v>173</v>
      </c>
      <c r="F46" s="96">
        <v>2</v>
      </c>
      <c r="G46" s="96">
        <v>2025.3</v>
      </c>
      <c r="H46" s="96">
        <v>18</v>
      </c>
      <c r="I46" s="96">
        <v>2</v>
      </c>
      <c r="J46" s="115" t="s">
        <v>153</v>
      </c>
      <c r="K46" s="116" t="s">
        <v>434</v>
      </c>
      <c r="L46" s="116" t="s">
        <v>184</v>
      </c>
      <c r="M46" s="45" t="s">
        <v>44</v>
      </c>
      <c r="N46" s="45" t="s">
        <v>45</v>
      </c>
      <c r="O46" s="118" t="s">
        <v>72</v>
      </c>
      <c r="P46" s="118" t="s">
        <v>73</v>
      </c>
      <c r="Q46" s="43"/>
      <c r="R46" s="43"/>
      <c r="S46" s="45"/>
    </row>
    <row r="47" s="82" customFormat="1" ht="24" spans="1:19">
      <c r="A47" s="51" t="s">
        <v>170</v>
      </c>
      <c r="B47" s="53" t="s">
        <v>63</v>
      </c>
      <c r="C47" s="53" t="s">
        <v>171</v>
      </c>
      <c r="D47" s="53" t="s">
        <v>172</v>
      </c>
      <c r="E47" s="53" t="s">
        <v>173</v>
      </c>
      <c r="F47" s="53">
        <v>2</v>
      </c>
      <c r="G47" s="53">
        <v>2025.3</v>
      </c>
      <c r="H47" s="53">
        <v>18</v>
      </c>
      <c r="I47" s="53">
        <v>2</v>
      </c>
      <c r="J47" s="24" t="s">
        <v>153</v>
      </c>
      <c r="K47" s="61" t="s">
        <v>185</v>
      </c>
      <c r="L47" s="61" t="s">
        <v>186</v>
      </c>
      <c r="M47" s="15" t="s">
        <v>52</v>
      </c>
      <c r="N47" s="15" t="s">
        <v>187</v>
      </c>
      <c r="O47" s="63" t="s">
        <v>72</v>
      </c>
      <c r="P47" s="63" t="s">
        <v>73</v>
      </c>
      <c r="Q47" s="14"/>
      <c r="R47" s="14"/>
      <c r="S47" s="15"/>
    </row>
    <row r="48" s="82" customFormat="1" ht="14.25" hidden="1" spans="1:19">
      <c r="A48" s="33" t="s">
        <v>170</v>
      </c>
      <c r="B48" s="96" t="s">
        <v>63</v>
      </c>
      <c r="C48" s="96" t="s">
        <v>171</v>
      </c>
      <c r="D48" s="96" t="s">
        <v>172</v>
      </c>
      <c r="E48" s="96" t="s">
        <v>173</v>
      </c>
      <c r="F48" s="96">
        <v>2</v>
      </c>
      <c r="G48" s="96">
        <v>2025.3</v>
      </c>
      <c r="H48" s="96">
        <v>18</v>
      </c>
      <c r="I48" s="96">
        <v>2</v>
      </c>
      <c r="J48" s="115" t="s">
        <v>153</v>
      </c>
      <c r="K48" s="116" t="s">
        <v>188</v>
      </c>
      <c r="L48" s="116" t="s">
        <v>189</v>
      </c>
      <c r="M48" s="45" t="s">
        <v>44</v>
      </c>
      <c r="N48" s="45" t="s">
        <v>45</v>
      </c>
      <c r="O48" s="118" t="s">
        <v>72</v>
      </c>
      <c r="P48" s="118" t="s">
        <v>73</v>
      </c>
      <c r="Q48" s="43"/>
      <c r="R48" s="43"/>
      <c r="S48" s="45"/>
    </row>
    <row r="49" s="82" customFormat="1" ht="27" hidden="1" spans="1:19">
      <c r="A49" s="33" t="s">
        <v>170</v>
      </c>
      <c r="B49" s="96" t="s">
        <v>63</v>
      </c>
      <c r="C49" s="96" t="s">
        <v>171</v>
      </c>
      <c r="D49" s="96" t="s">
        <v>172</v>
      </c>
      <c r="E49" s="96" t="s">
        <v>173</v>
      </c>
      <c r="F49" s="96">
        <v>2</v>
      </c>
      <c r="G49" s="96">
        <v>2025.3</v>
      </c>
      <c r="H49" s="96">
        <v>18</v>
      </c>
      <c r="I49" s="96">
        <v>2</v>
      </c>
      <c r="J49" s="115" t="s">
        <v>153</v>
      </c>
      <c r="K49" s="116" t="s">
        <v>190</v>
      </c>
      <c r="L49" s="116" t="s">
        <v>191</v>
      </c>
      <c r="M49" s="117" t="s">
        <v>36</v>
      </c>
      <c r="N49" s="45" t="s">
        <v>160</v>
      </c>
      <c r="O49" s="118" t="s">
        <v>72</v>
      </c>
      <c r="P49" s="118" t="s">
        <v>73</v>
      </c>
      <c r="Q49" s="43"/>
      <c r="R49" s="43"/>
      <c r="S49" s="45"/>
    </row>
    <row r="50" s="82" customFormat="1" ht="40.5" hidden="1" spans="1:19">
      <c r="A50" s="33" t="s">
        <v>170</v>
      </c>
      <c r="B50" s="96" t="s">
        <v>63</v>
      </c>
      <c r="C50" s="96" t="s">
        <v>171</v>
      </c>
      <c r="D50" s="96" t="s">
        <v>172</v>
      </c>
      <c r="E50" s="96" t="s">
        <v>173</v>
      </c>
      <c r="F50" s="96">
        <v>2</v>
      </c>
      <c r="G50" s="96">
        <v>2025.3</v>
      </c>
      <c r="H50" s="96">
        <v>18</v>
      </c>
      <c r="I50" s="96">
        <v>2</v>
      </c>
      <c r="J50" s="115" t="s">
        <v>153</v>
      </c>
      <c r="K50" s="116" t="s">
        <v>192</v>
      </c>
      <c r="L50" s="116" t="s">
        <v>193</v>
      </c>
      <c r="M50" s="45" t="s">
        <v>44</v>
      </c>
      <c r="N50" s="45" t="s">
        <v>45</v>
      </c>
      <c r="O50" s="118" t="s">
        <v>72</v>
      </c>
      <c r="P50" s="118" t="s">
        <v>73</v>
      </c>
      <c r="Q50" s="43"/>
      <c r="R50" s="43"/>
      <c r="S50" s="45"/>
    </row>
    <row r="51" s="82" customFormat="1" ht="40.5" hidden="1" spans="1:19">
      <c r="A51" s="33" t="s">
        <v>170</v>
      </c>
      <c r="B51" s="96" t="s">
        <v>63</v>
      </c>
      <c r="C51" s="96" t="s">
        <v>171</v>
      </c>
      <c r="D51" s="96" t="s">
        <v>194</v>
      </c>
      <c r="E51" s="96" t="s">
        <v>195</v>
      </c>
      <c r="F51" s="96">
        <v>3</v>
      </c>
      <c r="G51" s="96">
        <v>2025.4</v>
      </c>
      <c r="H51" s="96">
        <v>9</v>
      </c>
      <c r="I51" s="96">
        <v>3</v>
      </c>
      <c r="J51" s="115" t="s">
        <v>153</v>
      </c>
      <c r="K51" s="116" t="s">
        <v>196</v>
      </c>
      <c r="L51" s="116" t="s">
        <v>197</v>
      </c>
      <c r="M51" s="117" t="s">
        <v>36</v>
      </c>
      <c r="N51" s="45" t="s">
        <v>160</v>
      </c>
      <c r="O51" s="118" t="s">
        <v>72</v>
      </c>
      <c r="P51" s="118" t="s">
        <v>73</v>
      </c>
      <c r="Q51" s="43"/>
      <c r="R51" s="43"/>
      <c r="S51" s="45"/>
    </row>
    <row r="52" s="82" customFormat="1" ht="27" hidden="1" spans="1:19">
      <c r="A52" s="33" t="s">
        <v>170</v>
      </c>
      <c r="B52" s="96" t="s">
        <v>63</v>
      </c>
      <c r="C52" s="96" t="s">
        <v>171</v>
      </c>
      <c r="D52" s="96" t="s">
        <v>194</v>
      </c>
      <c r="E52" s="96" t="s">
        <v>195</v>
      </c>
      <c r="F52" s="96">
        <v>3</v>
      </c>
      <c r="G52" s="96">
        <v>2025.4</v>
      </c>
      <c r="H52" s="96">
        <v>9</v>
      </c>
      <c r="I52" s="96">
        <v>3</v>
      </c>
      <c r="J52" s="115" t="s">
        <v>153</v>
      </c>
      <c r="K52" s="116" t="s">
        <v>198</v>
      </c>
      <c r="L52" s="116" t="s">
        <v>199</v>
      </c>
      <c r="M52" s="117" t="s">
        <v>36</v>
      </c>
      <c r="N52" s="45" t="s">
        <v>160</v>
      </c>
      <c r="O52" s="118" t="s">
        <v>72</v>
      </c>
      <c r="P52" s="118" t="s">
        <v>73</v>
      </c>
      <c r="Q52" s="43"/>
      <c r="R52" s="43"/>
      <c r="S52" s="45"/>
    </row>
    <row r="53" s="82" customFormat="1" ht="27" hidden="1" spans="1:19">
      <c r="A53" s="33" t="s">
        <v>170</v>
      </c>
      <c r="B53" s="96" t="s">
        <v>63</v>
      </c>
      <c r="C53" s="96" t="s">
        <v>171</v>
      </c>
      <c r="D53" s="96" t="s">
        <v>194</v>
      </c>
      <c r="E53" s="96" t="s">
        <v>195</v>
      </c>
      <c r="F53" s="96">
        <v>3</v>
      </c>
      <c r="G53" s="96">
        <v>2025.4</v>
      </c>
      <c r="H53" s="96">
        <v>9</v>
      </c>
      <c r="I53" s="96">
        <v>3</v>
      </c>
      <c r="J53" s="115" t="s">
        <v>153</v>
      </c>
      <c r="K53" s="116" t="s">
        <v>200</v>
      </c>
      <c r="L53" s="116" t="s">
        <v>201</v>
      </c>
      <c r="M53" s="117" t="s">
        <v>36</v>
      </c>
      <c r="N53" s="45" t="s">
        <v>160</v>
      </c>
      <c r="O53" s="118" t="s">
        <v>72</v>
      </c>
      <c r="P53" s="118" t="s">
        <v>73</v>
      </c>
      <c r="Q53" s="43"/>
      <c r="R53" s="43"/>
      <c r="S53" s="45"/>
    </row>
    <row r="54" s="82" customFormat="1" ht="14.25" hidden="1" spans="1:19">
      <c r="A54" s="33" t="s">
        <v>170</v>
      </c>
      <c r="B54" s="96" t="s">
        <v>63</v>
      </c>
      <c r="C54" s="96" t="s">
        <v>171</v>
      </c>
      <c r="D54" s="96" t="s">
        <v>194</v>
      </c>
      <c r="E54" s="96" t="s">
        <v>195</v>
      </c>
      <c r="F54" s="96">
        <v>3</v>
      </c>
      <c r="G54" s="96">
        <v>2025.4</v>
      </c>
      <c r="H54" s="96">
        <v>9</v>
      </c>
      <c r="I54" s="96">
        <v>3</v>
      </c>
      <c r="J54" s="115" t="s">
        <v>153</v>
      </c>
      <c r="K54" s="116" t="s">
        <v>202</v>
      </c>
      <c r="L54" s="116" t="s">
        <v>203</v>
      </c>
      <c r="M54" s="45" t="s">
        <v>44</v>
      </c>
      <c r="N54" s="45" t="s">
        <v>45</v>
      </c>
      <c r="O54" s="118" t="s">
        <v>72</v>
      </c>
      <c r="P54" s="118" t="s">
        <v>73</v>
      </c>
      <c r="Q54" s="43"/>
      <c r="R54" s="43"/>
      <c r="S54" s="45"/>
    </row>
    <row r="55" s="82" customFormat="1" ht="27" hidden="1" spans="1:19">
      <c r="A55" s="33" t="s">
        <v>170</v>
      </c>
      <c r="B55" s="96" t="s">
        <v>63</v>
      </c>
      <c r="C55" s="96" t="s">
        <v>171</v>
      </c>
      <c r="D55" s="96" t="s">
        <v>194</v>
      </c>
      <c r="E55" s="96" t="s">
        <v>195</v>
      </c>
      <c r="F55" s="96">
        <v>3</v>
      </c>
      <c r="G55" s="96">
        <v>2025.4</v>
      </c>
      <c r="H55" s="96">
        <v>9</v>
      </c>
      <c r="I55" s="96">
        <v>3</v>
      </c>
      <c r="J55" s="115" t="s">
        <v>153</v>
      </c>
      <c r="K55" s="116" t="s">
        <v>204</v>
      </c>
      <c r="L55" s="116" t="s">
        <v>205</v>
      </c>
      <c r="M55" s="45" t="s">
        <v>44</v>
      </c>
      <c r="N55" s="45" t="s">
        <v>45</v>
      </c>
      <c r="O55" s="118" t="s">
        <v>72</v>
      </c>
      <c r="P55" s="118" t="s">
        <v>73</v>
      </c>
      <c r="Q55" s="43"/>
      <c r="R55" s="43"/>
      <c r="S55" s="45"/>
    </row>
    <row r="56" s="82" customFormat="1" ht="14.25" hidden="1" spans="1:19">
      <c r="A56" s="33" t="s">
        <v>170</v>
      </c>
      <c r="B56" s="33" t="s">
        <v>63</v>
      </c>
      <c r="C56" s="33" t="s">
        <v>171</v>
      </c>
      <c r="D56" s="33" t="s">
        <v>206</v>
      </c>
      <c r="E56" s="33" t="s">
        <v>207</v>
      </c>
      <c r="F56" s="33">
        <v>2</v>
      </c>
      <c r="G56" s="33">
        <v>2025.4</v>
      </c>
      <c r="H56" s="33">
        <v>18</v>
      </c>
      <c r="I56" s="33">
        <v>2</v>
      </c>
      <c r="J56" s="115" t="s">
        <v>153</v>
      </c>
      <c r="K56" s="116" t="s">
        <v>208</v>
      </c>
      <c r="L56" s="119"/>
      <c r="M56" s="117" t="s">
        <v>36</v>
      </c>
      <c r="N56" s="45" t="s">
        <v>160</v>
      </c>
      <c r="O56" s="118" t="s">
        <v>72</v>
      </c>
      <c r="P56" s="118" t="s">
        <v>73</v>
      </c>
      <c r="Q56" s="43"/>
      <c r="R56" s="43"/>
      <c r="S56" s="45"/>
    </row>
    <row r="57" s="82" customFormat="1" spans="1:19">
      <c r="A57" s="51" t="s">
        <v>170</v>
      </c>
      <c r="B57" s="51" t="s">
        <v>63</v>
      </c>
      <c r="C57" s="51" t="s">
        <v>171</v>
      </c>
      <c r="D57" s="51" t="s">
        <v>206</v>
      </c>
      <c r="E57" s="51" t="s">
        <v>207</v>
      </c>
      <c r="F57" s="51">
        <v>2</v>
      </c>
      <c r="G57" s="51">
        <v>2025.4</v>
      </c>
      <c r="H57" s="51">
        <v>18</v>
      </c>
      <c r="I57" s="51">
        <v>2</v>
      </c>
      <c r="J57" s="24" t="s">
        <v>153</v>
      </c>
      <c r="K57" s="61" t="s">
        <v>209</v>
      </c>
      <c r="L57" s="61" t="s">
        <v>210</v>
      </c>
      <c r="M57" s="15" t="s">
        <v>52</v>
      </c>
      <c r="N57" s="15" t="s">
        <v>187</v>
      </c>
      <c r="O57" s="63" t="s">
        <v>72</v>
      </c>
      <c r="P57" s="63" t="s">
        <v>73</v>
      </c>
      <c r="Q57" s="14"/>
      <c r="R57" s="14"/>
      <c r="S57" s="15"/>
    </row>
    <row r="58" s="82" customFormat="1" ht="24" spans="1:19">
      <c r="A58" s="51" t="s">
        <v>170</v>
      </c>
      <c r="B58" s="51" t="s">
        <v>63</v>
      </c>
      <c r="C58" s="51" t="s">
        <v>171</v>
      </c>
      <c r="D58" s="51" t="s">
        <v>206</v>
      </c>
      <c r="E58" s="51" t="s">
        <v>207</v>
      </c>
      <c r="F58" s="51">
        <v>2</v>
      </c>
      <c r="G58" s="51">
        <v>2025.4</v>
      </c>
      <c r="H58" s="51">
        <v>18</v>
      </c>
      <c r="I58" s="51">
        <v>2</v>
      </c>
      <c r="J58" s="24" t="s">
        <v>153</v>
      </c>
      <c r="K58" s="61" t="s">
        <v>211</v>
      </c>
      <c r="L58" s="61" t="s">
        <v>212</v>
      </c>
      <c r="M58" s="15" t="s">
        <v>52</v>
      </c>
      <c r="N58" s="15" t="s">
        <v>187</v>
      </c>
      <c r="O58" s="63" t="s">
        <v>72</v>
      </c>
      <c r="P58" s="63" t="s">
        <v>73</v>
      </c>
      <c r="Q58" s="14"/>
      <c r="R58" s="14"/>
      <c r="S58" s="15"/>
    </row>
    <row r="59" s="82" customFormat="1" ht="24" spans="1:19">
      <c r="A59" s="51" t="s">
        <v>170</v>
      </c>
      <c r="B59" s="51" t="s">
        <v>63</v>
      </c>
      <c r="C59" s="51" t="s">
        <v>171</v>
      </c>
      <c r="D59" s="51" t="s">
        <v>206</v>
      </c>
      <c r="E59" s="51" t="s">
        <v>207</v>
      </c>
      <c r="F59" s="51">
        <v>2</v>
      </c>
      <c r="G59" s="51">
        <v>2025.4</v>
      </c>
      <c r="H59" s="51">
        <v>18</v>
      </c>
      <c r="I59" s="51">
        <v>2</v>
      </c>
      <c r="J59" s="24" t="s">
        <v>153</v>
      </c>
      <c r="K59" s="61" t="s">
        <v>213</v>
      </c>
      <c r="L59" s="61" t="s">
        <v>214</v>
      </c>
      <c r="M59" s="15" t="s">
        <v>52</v>
      </c>
      <c r="N59" s="15" t="s">
        <v>187</v>
      </c>
      <c r="O59" s="63" t="s">
        <v>72</v>
      </c>
      <c r="P59" s="63" t="s">
        <v>73</v>
      </c>
      <c r="Q59" s="14"/>
      <c r="R59" s="14"/>
      <c r="S59" s="15"/>
    </row>
    <row r="60" s="82" customFormat="1" ht="27" hidden="1" spans="1:19">
      <c r="A60" s="33" t="s">
        <v>170</v>
      </c>
      <c r="B60" s="33" t="s">
        <v>63</v>
      </c>
      <c r="C60" s="33" t="s">
        <v>171</v>
      </c>
      <c r="D60" s="33" t="s">
        <v>206</v>
      </c>
      <c r="E60" s="33" t="s">
        <v>207</v>
      </c>
      <c r="F60" s="33">
        <v>2</v>
      </c>
      <c r="G60" s="33">
        <v>2025.4</v>
      </c>
      <c r="H60" s="33">
        <v>18</v>
      </c>
      <c r="I60" s="33">
        <v>2</v>
      </c>
      <c r="J60" s="115" t="s">
        <v>153</v>
      </c>
      <c r="K60" s="116" t="s">
        <v>215</v>
      </c>
      <c r="L60" s="116" t="s">
        <v>216</v>
      </c>
      <c r="M60" s="117" t="s">
        <v>36</v>
      </c>
      <c r="N60" s="45" t="s">
        <v>160</v>
      </c>
      <c r="O60" s="118" t="s">
        <v>72</v>
      </c>
      <c r="P60" s="118" t="s">
        <v>73</v>
      </c>
      <c r="Q60" s="43"/>
      <c r="R60" s="43"/>
      <c r="S60" s="45"/>
    </row>
    <row r="61" s="83" customFormat="1" ht="28.5" hidden="1" spans="1:19">
      <c r="A61" s="97" t="s">
        <v>217</v>
      </c>
      <c r="B61" s="98" t="s">
        <v>21</v>
      </c>
      <c r="C61" s="98" t="s">
        <v>218</v>
      </c>
      <c r="D61" s="98" t="s">
        <v>219</v>
      </c>
      <c r="E61" s="98" t="s">
        <v>220</v>
      </c>
      <c r="F61" s="98">
        <v>8</v>
      </c>
      <c r="G61" s="98" t="s">
        <v>221</v>
      </c>
      <c r="H61" s="98">
        <v>31</v>
      </c>
      <c r="I61" s="98">
        <v>8</v>
      </c>
      <c r="J61" s="98" t="s">
        <v>25</v>
      </c>
      <c r="K61" s="120" t="s">
        <v>222</v>
      </c>
      <c r="L61" s="121"/>
      <c r="M61" s="122"/>
      <c r="N61" s="122"/>
      <c r="O61" s="123"/>
      <c r="P61" s="124"/>
      <c r="Q61" s="26"/>
      <c r="R61" s="26"/>
      <c r="S61" s="27"/>
    </row>
    <row r="62" s="2" customFormat="1" ht="27" hidden="1" spans="1:19">
      <c r="A62" s="34" t="s">
        <v>223</v>
      </c>
      <c r="B62" s="45" t="s">
        <v>21</v>
      </c>
      <c r="C62" s="45" t="s">
        <v>224</v>
      </c>
      <c r="D62" s="45" t="s">
        <v>225</v>
      </c>
      <c r="E62" s="45" t="s">
        <v>226</v>
      </c>
      <c r="F62" s="45">
        <v>3</v>
      </c>
      <c r="G62" s="45" t="s">
        <v>227</v>
      </c>
      <c r="H62" s="45">
        <v>13</v>
      </c>
      <c r="I62" s="45">
        <v>3</v>
      </c>
      <c r="J62" s="125" t="s">
        <v>153</v>
      </c>
      <c r="K62" s="116" t="s">
        <v>228</v>
      </c>
      <c r="L62" s="116" t="s">
        <v>229</v>
      </c>
      <c r="M62" s="116" t="s">
        <v>230</v>
      </c>
      <c r="N62" s="116" t="s">
        <v>231</v>
      </c>
      <c r="O62" s="126" t="s">
        <v>72</v>
      </c>
      <c r="P62" s="126" t="s">
        <v>73</v>
      </c>
      <c r="Q62" s="43"/>
      <c r="R62" s="43"/>
      <c r="S62" s="45"/>
    </row>
    <row r="63" s="2" customFormat="1" ht="27" hidden="1" spans="1:19">
      <c r="A63" s="34" t="s">
        <v>223</v>
      </c>
      <c r="B63" s="45"/>
      <c r="C63" s="45"/>
      <c r="D63" s="45"/>
      <c r="E63" s="45"/>
      <c r="F63" s="45"/>
      <c r="G63" s="45"/>
      <c r="H63" s="45"/>
      <c r="I63" s="45"/>
      <c r="J63" s="125" t="s">
        <v>153</v>
      </c>
      <c r="K63" s="116" t="s">
        <v>232</v>
      </c>
      <c r="L63" s="116" t="s">
        <v>233</v>
      </c>
      <c r="M63" s="116" t="s">
        <v>28</v>
      </c>
      <c r="N63" s="116" t="s">
        <v>29</v>
      </c>
      <c r="O63" s="126" t="s">
        <v>72</v>
      </c>
      <c r="P63" s="126" t="s">
        <v>73</v>
      </c>
      <c r="Q63" s="43"/>
      <c r="R63" s="43"/>
      <c r="S63" s="45"/>
    </row>
    <row r="64" s="2" customFormat="1" ht="27" hidden="1" spans="1:19">
      <c r="A64" s="34" t="s">
        <v>223</v>
      </c>
      <c r="B64" s="85" t="s">
        <v>63</v>
      </c>
      <c r="C64" s="85" t="s">
        <v>234</v>
      </c>
      <c r="D64" s="85" t="s">
        <v>235</v>
      </c>
      <c r="E64" s="85" t="s">
        <v>236</v>
      </c>
      <c r="F64" s="85">
        <v>1</v>
      </c>
      <c r="G64" s="85">
        <v>2023.12</v>
      </c>
      <c r="H64" s="85">
        <v>5</v>
      </c>
      <c r="I64" s="85">
        <v>1</v>
      </c>
      <c r="J64" s="125" t="s">
        <v>153</v>
      </c>
      <c r="K64" s="116" t="s">
        <v>237</v>
      </c>
      <c r="L64" s="116" t="s">
        <v>238</v>
      </c>
      <c r="M64" s="116" t="s">
        <v>70</v>
      </c>
      <c r="N64" s="116" t="s">
        <v>71</v>
      </c>
      <c r="O64" s="126" t="s">
        <v>72</v>
      </c>
      <c r="P64" s="126" t="s">
        <v>73</v>
      </c>
      <c r="Q64" s="43"/>
      <c r="R64" s="43"/>
      <c r="S64" s="45"/>
    </row>
    <row r="65" s="2" customFormat="1" ht="54" hidden="1" spans="1:19">
      <c r="A65" s="34" t="s">
        <v>223</v>
      </c>
      <c r="B65" s="34" t="s">
        <v>63</v>
      </c>
      <c r="C65" s="34" t="s">
        <v>234</v>
      </c>
      <c r="D65" s="34" t="s">
        <v>239</v>
      </c>
      <c r="E65" s="34" t="s">
        <v>240</v>
      </c>
      <c r="F65" s="34">
        <v>3</v>
      </c>
      <c r="G65" s="34">
        <v>2024.12</v>
      </c>
      <c r="H65" s="34">
        <v>11</v>
      </c>
      <c r="I65" s="34">
        <v>3</v>
      </c>
      <c r="J65" s="125" t="s">
        <v>153</v>
      </c>
      <c r="K65" s="116" t="s">
        <v>419</v>
      </c>
      <c r="L65" s="116" t="s">
        <v>420</v>
      </c>
      <c r="M65" s="116" t="s">
        <v>70</v>
      </c>
      <c r="N65" s="116" t="s">
        <v>71</v>
      </c>
      <c r="O65" s="126" t="s">
        <v>72</v>
      </c>
      <c r="P65" s="126" t="s">
        <v>73</v>
      </c>
      <c r="Q65" s="43"/>
      <c r="R65" s="43"/>
      <c r="S65" s="45"/>
    </row>
    <row r="66" s="2" customFormat="1" ht="72" spans="1:19">
      <c r="A66" s="51" t="s">
        <v>223</v>
      </c>
      <c r="B66" s="51" t="s">
        <v>63</v>
      </c>
      <c r="C66" s="51" t="s">
        <v>234</v>
      </c>
      <c r="D66" s="51" t="s">
        <v>239</v>
      </c>
      <c r="E66" s="51" t="s">
        <v>240</v>
      </c>
      <c r="F66" s="51">
        <v>3</v>
      </c>
      <c r="G66" s="51">
        <v>2024.12</v>
      </c>
      <c r="H66" s="51">
        <v>11</v>
      </c>
      <c r="I66" s="51">
        <v>3</v>
      </c>
      <c r="J66" s="165" t="s">
        <v>153</v>
      </c>
      <c r="K66" s="61" t="s">
        <v>421</v>
      </c>
      <c r="L66" s="61" t="s">
        <v>422</v>
      </c>
      <c r="M66" s="61" t="s">
        <v>245</v>
      </c>
      <c r="N66" s="61" t="s">
        <v>246</v>
      </c>
      <c r="O66" s="53" t="s">
        <v>72</v>
      </c>
      <c r="P66" s="53" t="s">
        <v>73</v>
      </c>
      <c r="Q66" s="14"/>
      <c r="R66" s="14"/>
      <c r="S66" s="15"/>
    </row>
    <row r="67" s="2" customFormat="1" ht="24" spans="1:19">
      <c r="A67" s="51" t="s">
        <v>223</v>
      </c>
      <c r="B67" s="51" t="s">
        <v>63</v>
      </c>
      <c r="C67" s="51" t="s">
        <v>234</v>
      </c>
      <c r="D67" s="51" t="s">
        <v>239</v>
      </c>
      <c r="E67" s="51" t="s">
        <v>240</v>
      </c>
      <c r="F67" s="51">
        <v>3</v>
      </c>
      <c r="G67" s="51">
        <v>2024.12</v>
      </c>
      <c r="H67" s="51">
        <v>11</v>
      </c>
      <c r="I67" s="51">
        <v>3</v>
      </c>
      <c r="J67" s="165" t="s">
        <v>153</v>
      </c>
      <c r="K67" s="61" t="s">
        <v>247</v>
      </c>
      <c r="L67" s="61" t="s">
        <v>248</v>
      </c>
      <c r="M67" s="61" t="s">
        <v>245</v>
      </c>
      <c r="N67" s="61" t="s">
        <v>246</v>
      </c>
      <c r="O67" s="53" t="s">
        <v>72</v>
      </c>
      <c r="P67" s="53" t="s">
        <v>73</v>
      </c>
      <c r="Q67" s="14"/>
      <c r="R67" s="14"/>
      <c r="S67" s="15"/>
    </row>
    <row r="68" s="2" customFormat="1" ht="24" spans="1:19">
      <c r="A68" s="51" t="s">
        <v>223</v>
      </c>
      <c r="B68" s="51" t="s">
        <v>63</v>
      </c>
      <c r="C68" s="51" t="s">
        <v>234</v>
      </c>
      <c r="D68" s="51" t="s">
        <v>239</v>
      </c>
      <c r="E68" s="51" t="s">
        <v>240</v>
      </c>
      <c r="F68" s="51">
        <v>3</v>
      </c>
      <c r="G68" s="51">
        <v>2024.12</v>
      </c>
      <c r="H68" s="51">
        <v>11</v>
      </c>
      <c r="I68" s="51">
        <v>3</v>
      </c>
      <c r="J68" s="165" t="s">
        <v>153</v>
      </c>
      <c r="K68" s="61" t="s">
        <v>247</v>
      </c>
      <c r="L68" s="61" t="s">
        <v>248</v>
      </c>
      <c r="M68" s="61" t="s">
        <v>245</v>
      </c>
      <c r="N68" s="61" t="s">
        <v>246</v>
      </c>
      <c r="O68" s="53" t="s">
        <v>72</v>
      </c>
      <c r="P68" s="53" t="s">
        <v>73</v>
      </c>
      <c r="Q68" s="14"/>
      <c r="R68" s="14"/>
      <c r="S68" s="15"/>
    </row>
    <row r="69" s="2" customFormat="1" ht="36" spans="1:19">
      <c r="A69" s="51" t="s">
        <v>223</v>
      </c>
      <c r="B69" s="24" t="s">
        <v>63</v>
      </c>
      <c r="C69" s="24" t="s">
        <v>234</v>
      </c>
      <c r="D69" s="24" t="s">
        <v>249</v>
      </c>
      <c r="E69" s="163" t="s">
        <v>250</v>
      </c>
      <c r="F69" s="24">
        <v>1</v>
      </c>
      <c r="G69" s="24">
        <v>2025.2</v>
      </c>
      <c r="H69" s="24">
        <v>28</v>
      </c>
      <c r="I69" s="24">
        <v>1</v>
      </c>
      <c r="J69" s="165" t="s">
        <v>153</v>
      </c>
      <c r="K69" s="61" t="s">
        <v>251</v>
      </c>
      <c r="L69" s="61" t="s">
        <v>252</v>
      </c>
      <c r="M69" s="61" t="s">
        <v>245</v>
      </c>
      <c r="N69" s="61" t="s">
        <v>253</v>
      </c>
      <c r="O69" s="53" t="s">
        <v>72</v>
      </c>
      <c r="P69" s="53" t="s">
        <v>73</v>
      </c>
      <c r="Q69" s="14"/>
      <c r="R69" s="14"/>
      <c r="S69" s="15"/>
    </row>
    <row r="70" s="2" customFormat="1" ht="27" hidden="1" spans="1:19">
      <c r="A70" s="34" t="s">
        <v>254</v>
      </c>
      <c r="B70" s="130" t="s">
        <v>21</v>
      </c>
      <c r="C70" s="130" t="s">
        <v>255</v>
      </c>
      <c r="D70" s="130" t="s">
        <v>256</v>
      </c>
      <c r="E70" s="130" t="s">
        <v>257</v>
      </c>
      <c r="F70" s="130">
        <v>1</v>
      </c>
      <c r="G70" s="130">
        <v>2024.1</v>
      </c>
      <c r="H70" s="130">
        <v>25</v>
      </c>
      <c r="I70" s="130">
        <v>1</v>
      </c>
      <c r="J70" s="35" t="s">
        <v>25</v>
      </c>
      <c r="K70" s="116" t="s">
        <v>258</v>
      </c>
      <c r="L70" s="116" t="s">
        <v>259</v>
      </c>
      <c r="M70" s="117" t="s">
        <v>132</v>
      </c>
      <c r="N70" s="137" t="s">
        <v>260</v>
      </c>
      <c r="O70" s="41" t="s">
        <v>72</v>
      </c>
      <c r="P70" s="41" t="s">
        <v>73</v>
      </c>
      <c r="Q70" s="43"/>
      <c r="R70" s="43"/>
      <c r="S70" s="45"/>
    </row>
    <row r="71" s="2" customFormat="1" ht="27" hidden="1" spans="1:19">
      <c r="A71" s="34" t="s">
        <v>254</v>
      </c>
      <c r="B71" s="130" t="s">
        <v>21</v>
      </c>
      <c r="C71" s="130" t="s">
        <v>255</v>
      </c>
      <c r="D71" s="130" t="s">
        <v>256</v>
      </c>
      <c r="E71" s="130" t="s">
        <v>257</v>
      </c>
      <c r="F71" s="130">
        <v>1</v>
      </c>
      <c r="G71" s="130">
        <v>2024.1</v>
      </c>
      <c r="H71" s="130">
        <v>25</v>
      </c>
      <c r="I71" s="130">
        <v>1</v>
      </c>
      <c r="J71" s="35" t="s">
        <v>25</v>
      </c>
      <c r="K71" s="116" t="s">
        <v>261</v>
      </c>
      <c r="L71" s="116" t="s">
        <v>262</v>
      </c>
      <c r="M71" s="117" t="s">
        <v>132</v>
      </c>
      <c r="N71" s="137" t="s">
        <v>260</v>
      </c>
      <c r="O71" s="41" t="s">
        <v>72</v>
      </c>
      <c r="P71" s="41" t="s">
        <v>73</v>
      </c>
      <c r="Q71" s="43"/>
      <c r="R71" s="43"/>
      <c r="S71" s="45"/>
    </row>
    <row r="72" s="2" customFormat="1" ht="27" hidden="1" spans="1:19">
      <c r="A72" s="34" t="s">
        <v>254</v>
      </c>
      <c r="B72" s="130" t="s">
        <v>21</v>
      </c>
      <c r="C72" s="130" t="s">
        <v>255</v>
      </c>
      <c r="D72" s="130" t="s">
        <v>256</v>
      </c>
      <c r="E72" s="130" t="s">
        <v>257</v>
      </c>
      <c r="F72" s="130">
        <v>1</v>
      </c>
      <c r="G72" s="130">
        <v>2024.1</v>
      </c>
      <c r="H72" s="130">
        <v>25</v>
      </c>
      <c r="I72" s="130">
        <v>1</v>
      </c>
      <c r="J72" s="35" t="s">
        <v>25</v>
      </c>
      <c r="K72" s="116" t="s">
        <v>263</v>
      </c>
      <c r="L72" s="116" t="s">
        <v>264</v>
      </c>
      <c r="M72" s="117" t="s">
        <v>84</v>
      </c>
      <c r="N72" s="137" t="s">
        <v>84</v>
      </c>
      <c r="O72" s="41" t="s">
        <v>72</v>
      </c>
      <c r="P72" s="41" t="s">
        <v>73</v>
      </c>
      <c r="Q72" s="43"/>
      <c r="R72" s="43"/>
      <c r="S72" s="45"/>
    </row>
    <row r="73" s="2" customFormat="1" ht="27" hidden="1" spans="1:19">
      <c r="A73" s="34" t="s">
        <v>254</v>
      </c>
      <c r="B73" s="130" t="s">
        <v>21</v>
      </c>
      <c r="C73" s="130" t="s">
        <v>255</v>
      </c>
      <c r="D73" s="130" t="s">
        <v>256</v>
      </c>
      <c r="E73" s="130" t="s">
        <v>257</v>
      </c>
      <c r="F73" s="130">
        <v>1</v>
      </c>
      <c r="G73" s="130">
        <v>2024.1</v>
      </c>
      <c r="H73" s="130">
        <v>25</v>
      </c>
      <c r="I73" s="130">
        <v>1</v>
      </c>
      <c r="J73" s="35" t="s">
        <v>25</v>
      </c>
      <c r="K73" s="116" t="s">
        <v>265</v>
      </c>
      <c r="L73" s="116" t="s">
        <v>266</v>
      </c>
      <c r="M73" s="117" t="s">
        <v>84</v>
      </c>
      <c r="N73" s="137" t="s">
        <v>84</v>
      </c>
      <c r="O73" s="41" t="s">
        <v>72</v>
      </c>
      <c r="P73" s="41" t="s">
        <v>73</v>
      </c>
      <c r="Q73" s="43"/>
      <c r="R73" s="43"/>
      <c r="S73" s="45"/>
    </row>
    <row r="74" s="2" customFormat="1" spans="1:19">
      <c r="A74" s="51" t="s">
        <v>254</v>
      </c>
      <c r="B74" s="54" t="s">
        <v>21</v>
      </c>
      <c r="C74" s="54" t="s">
        <v>255</v>
      </c>
      <c r="D74" s="54" t="s">
        <v>256</v>
      </c>
      <c r="E74" s="54" t="s">
        <v>257</v>
      </c>
      <c r="F74" s="54">
        <v>1</v>
      </c>
      <c r="G74" s="54">
        <v>2024.1</v>
      </c>
      <c r="H74" s="54">
        <v>25</v>
      </c>
      <c r="I74" s="54">
        <v>1</v>
      </c>
      <c r="J74" s="55" t="s">
        <v>25</v>
      </c>
      <c r="K74" s="61" t="s">
        <v>267</v>
      </c>
      <c r="L74" s="61" t="s">
        <v>268</v>
      </c>
      <c r="M74" s="62" t="s">
        <v>52</v>
      </c>
      <c r="N74" s="65" t="s">
        <v>269</v>
      </c>
      <c r="O74" s="13" t="s">
        <v>72</v>
      </c>
      <c r="P74" s="13" t="s">
        <v>73</v>
      </c>
      <c r="Q74" s="14"/>
      <c r="R74" s="14"/>
      <c r="S74" s="15"/>
    </row>
    <row r="75" s="2" customFormat="1" ht="27" hidden="1" spans="1:19">
      <c r="A75" s="34" t="s">
        <v>254</v>
      </c>
      <c r="B75" s="85" t="s">
        <v>63</v>
      </c>
      <c r="C75" s="85" t="s">
        <v>270</v>
      </c>
      <c r="D75" s="85" t="s">
        <v>271</v>
      </c>
      <c r="E75" s="164" t="s">
        <v>272</v>
      </c>
      <c r="F75" s="85">
        <v>1</v>
      </c>
      <c r="G75" s="85">
        <v>2023.8</v>
      </c>
      <c r="H75" s="85">
        <v>30</v>
      </c>
      <c r="I75" s="85">
        <v>1</v>
      </c>
      <c r="J75" s="35" t="s">
        <v>153</v>
      </c>
      <c r="K75" s="37" t="s">
        <v>273</v>
      </c>
      <c r="L75" s="116" t="s">
        <v>274</v>
      </c>
      <c r="M75" s="117" t="s">
        <v>70</v>
      </c>
      <c r="N75" s="40" t="s">
        <v>71</v>
      </c>
      <c r="O75" s="41" t="s">
        <v>72</v>
      </c>
      <c r="P75" s="41" t="s">
        <v>73</v>
      </c>
      <c r="Q75" s="43"/>
      <c r="R75" s="43"/>
      <c r="S75" s="45"/>
    </row>
    <row r="76" s="2" customFormat="1" spans="1:19">
      <c r="A76" s="51" t="s">
        <v>254</v>
      </c>
      <c r="B76" s="24" t="s">
        <v>63</v>
      </c>
      <c r="C76" s="24" t="s">
        <v>275</v>
      </c>
      <c r="D76" s="24" t="s">
        <v>276</v>
      </c>
      <c r="E76" s="59" t="s">
        <v>277</v>
      </c>
      <c r="F76" s="24">
        <v>1</v>
      </c>
      <c r="G76" s="24">
        <v>2024.1</v>
      </c>
      <c r="H76" s="24">
        <v>4</v>
      </c>
      <c r="I76" s="24">
        <v>1</v>
      </c>
      <c r="J76" s="55" t="s">
        <v>278</v>
      </c>
      <c r="K76" s="61" t="s">
        <v>279</v>
      </c>
      <c r="L76" s="61" t="s">
        <v>280</v>
      </c>
      <c r="M76" s="62" t="s">
        <v>52</v>
      </c>
      <c r="N76" s="65" t="s">
        <v>187</v>
      </c>
      <c r="O76" s="13" t="s">
        <v>72</v>
      </c>
      <c r="P76" s="13" t="s">
        <v>73</v>
      </c>
      <c r="Q76" s="14"/>
      <c r="R76" s="14"/>
      <c r="S76" s="15"/>
    </row>
    <row r="77" s="2" customFormat="1" hidden="1" spans="1:19">
      <c r="A77" s="34" t="s">
        <v>254</v>
      </c>
      <c r="B77" s="35" t="s">
        <v>21</v>
      </c>
      <c r="C77" s="35" t="s">
        <v>281</v>
      </c>
      <c r="D77" s="35" t="s">
        <v>282</v>
      </c>
      <c r="E77" s="35" t="s">
        <v>283</v>
      </c>
      <c r="F77" s="35">
        <v>6</v>
      </c>
      <c r="G77" s="35">
        <v>2025.4</v>
      </c>
      <c r="H77" s="35">
        <v>22</v>
      </c>
      <c r="I77" s="35">
        <v>6</v>
      </c>
      <c r="J77" s="35" t="s">
        <v>25</v>
      </c>
      <c r="K77" s="140" t="s">
        <v>284</v>
      </c>
      <c r="L77" s="140" t="s">
        <v>285</v>
      </c>
      <c r="M77" s="140" t="s">
        <v>28</v>
      </c>
      <c r="N77" s="141" t="s">
        <v>176</v>
      </c>
      <c r="O77" s="41" t="s">
        <v>72</v>
      </c>
      <c r="P77" s="41" t="s">
        <v>73</v>
      </c>
      <c r="Q77" s="43"/>
      <c r="R77" s="43"/>
      <c r="S77" s="45"/>
    </row>
    <row r="78" s="2" customFormat="1" spans="1:19">
      <c r="A78" s="51" t="s">
        <v>254</v>
      </c>
      <c r="B78" s="55" t="s">
        <v>21</v>
      </c>
      <c r="C78" s="55" t="s">
        <v>281</v>
      </c>
      <c r="D78" s="55" t="s">
        <v>282</v>
      </c>
      <c r="E78" s="55" t="s">
        <v>283</v>
      </c>
      <c r="F78" s="55">
        <v>6</v>
      </c>
      <c r="G78" s="55">
        <v>2025.4</v>
      </c>
      <c r="H78" s="55">
        <v>22</v>
      </c>
      <c r="I78" s="55">
        <v>6</v>
      </c>
      <c r="J78" s="55" t="s">
        <v>25</v>
      </c>
      <c r="K78" s="19" t="s">
        <v>286</v>
      </c>
      <c r="L78" s="19" t="s">
        <v>287</v>
      </c>
      <c r="M78" s="19" t="s">
        <v>52</v>
      </c>
      <c r="N78" s="66" t="s">
        <v>53</v>
      </c>
      <c r="O78" s="13" t="s">
        <v>72</v>
      </c>
      <c r="P78" s="13" t="s">
        <v>73</v>
      </c>
      <c r="Q78" s="14"/>
      <c r="R78" s="14"/>
      <c r="S78" s="15"/>
    </row>
    <row r="79" s="2" customFormat="1" hidden="1" spans="1:19">
      <c r="A79" s="34" t="s">
        <v>254</v>
      </c>
      <c r="B79" s="35" t="s">
        <v>21</v>
      </c>
      <c r="C79" s="35" t="s">
        <v>281</v>
      </c>
      <c r="D79" s="35" t="s">
        <v>282</v>
      </c>
      <c r="E79" s="35" t="s">
        <v>283</v>
      </c>
      <c r="F79" s="35">
        <v>6</v>
      </c>
      <c r="G79" s="35">
        <v>2025.4</v>
      </c>
      <c r="H79" s="35">
        <v>22</v>
      </c>
      <c r="I79" s="35">
        <v>6</v>
      </c>
      <c r="J79" s="35" t="s">
        <v>25</v>
      </c>
      <c r="K79" s="39" t="s">
        <v>288</v>
      </c>
      <c r="L79" s="39" t="s">
        <v>289</v>
      </c>
      <c r="M79" s="39" t="s">
        <v>70</v>
      </c>
      <c r="N79" s="40" t="s">
        <v>71</v>
      </c>
      <c r="O79" s="41" t="s">
        <v>72</v>
      </c>
      <c r="P79" s="41" t="s">
        <v>73</v>
      </c>
      <c r="Q79" s="43"/>
      <c r="R79" s="43"/>
      <c r="S79" s="45"/>
    </row>
    <row r="80" s="2" customFormat="1" ht="27" hidden="1" spans="1:19">
      <c r="A80" s="34" t="s">
        <v>254</v>
      </c>
      <c r="B80" s="35" t="s">
        <v>21</v>
      </c>
      <c r="C80" s="35" t="s">
        <v>281</v>
      </c>
      <c r="D80" s="35" t="s">
        <v>282</v>
      </c>
      <c r="E80" s="35" t="s">
        <v>283</v>
      </c>
      <c r="F80" s="35">
        <v>6</v>
      </c>
      <c r="G80" s="35">
        <v>2025.4</v>
      </c>
      <c r="H80" s="35">
        <v>22</v>
      </c>
      <c r="I80" s="35">
        <v>6</v>
      </c>
      <c r="J80" s="35" t="s">
        <v>25</v>
      </c>
      <c r="K80" s="39" t="s">
        <v>290</v>
      </c>
      <c r="L80" s="39" t="s">
        <v>291</v>
      </c>
      <c r="M80" s="39" t="s">
        <v>36</v>
      </c>
      <c r="N80" s="40" t="s">
        <v>160</v>
      </c>
      <c r="O80" s="41" t="s">
        <v>72</v>
      </c>
      <c r="P80" s="41" t="s">
        <v>73</v>
      </c>
      <c r="Q80" s="43"/>
      <c r="R80" s="43"/>
      <c r="S80" s="45"/>
    </row>
    <row r="81" s="2" customFormat="1" hidden="1" spans="1:19">
      <c r="A81" s="34" t="s">
        <v>254</v>
      </c>
      <c r="B81" s="35" t="s">
        <v>21</v>
      </c>
      <c r="C81" s="35" t="s">
        <v>281</v>
      </c>
      <c r="D81" s="35" t="s">
        <v>282</v>
      </c>
      <c r="E81" s="35" t="s">
        <v>283</v>
      </c>
      <c r="F81" s="35">
        <v>6</v>
      </c>
      <c r="G81" s="35">
        <v>2025.4</v>
      </c>
      <c r="H81" s="35">
        <v>22</v>
      </c>
      <c r="I81" s="35">
        <v>6</v>
      </c>
      <c r="J81" s="35" t="s">
        <v>25</v>
      </c>
      <c r="K81" s="39" t="s">
        <v>292</v>
      </c>
      <c r="L81" s="39" t="s">
        <v>293</v>
      </c>
      <c r="M81" s="39" t="s">
        <v>28</v>
      </c>
      <c r="N81" s="40" t="s">
        <v>29</v>
      </c>
      <c r="O81" s="41" t="s">
        <v>72</v>
      </c>
      <c r="P81" s="41" t="s">
        <v>73</v>
      </c>
      <c r="Q81" s="43"/>
      <c r="R81" s="43"/>
      <c r="S81" s="45"/>
    </row>
    <row r="82" s="2" customFormat="1" hidden="1" spans="1:19">
      <c r="A82" s="34" t="s">
        <v>254</v>
      </c>
      <c r="B82" s="35" t="s">
        <v>21</v>
      </c>
      <c r="C82" s="35" t="s">
        <v>281</v>
      </c>
      <c r="D82" s="35" t="s">
        <v>282</v>
      </c>
      <c r="E82" s="35" t="s">
        <v>283</v>
      </c>
      <c r="F82" s="35">
        <v>6</v>
      </c>
      <c r="G82" s="35">
        <v>2025.4</v>
      </c>
      <c r="H82" s="35">
        <v>22</v>
      </c>
      <c r="I82" s="35">
        <v>6</v>
      </c>
      <c r="J82" s="35" t="s">
        <v>25</v>
      </c>
      <c r="K82" s="39" t="s">
        <v>294</v>
      </c>
      <c r="L82" s="39" t="s">
        <v>295</v>
      </c>
      <c r="M82" s="39" t="s">
        <v>28</v>
      </c>
      <c r="N82" s="40" t="s">
        <v>29</v>
      </c>
      <c r="O82" s="41" t="s">
        <v>72</v>
      </c>
      <c r="P82" s="41" t="s">
        <v>73</v>
      </c>
      <c r="Q82" s="43"/>
      <c r="R82" s="43"/>
      <c r="S82" s="45"/>
    </row>
    <row r="83" s="2" customFormat="1" hidden="1" spans="1:19">
      <c r="A83" s="34" t="s">
        <v>254</v>
      </c>
      <c r="B83" s="35" t="s">
        <v>21</v>
      </c>
      <c r="C83" s="35" t="s">
        <v>281</v>
      </c>
      <c r="D83" s="35" t="s">
        <v>282</v>
      </c>
      <c r="E83" s="35" t="s">
        <v>283</v>
      </c>
      <c r="F83" s="35">
        <v>6</v>
      </c>
      <c r="G83" s="35">
        <v>2025.4</v>
      </c>
      <c r="H83" s="35">
        <v>22</v>
      </c>
      <c r="I83" s="35">
        <v>6</v>
      </c>
      <c r="J83" s="35" t="s">
        <v>25</v>
      </c>
      <c r="K83" s="39" t="s">
        <v>296</v>
      </c>
      <c r="L83" s="39" t="s">
        <v>297</v>
      </c>
      <c r="M83" s="39" t="s">
        <v>298</v>
      </c>
      <c r="N83" s="40" t="s">
        <v>299</v>
      </c>
      <c r="O83" s="41" t="s">
        <v>72</v>
      </c>
      <c r="P83" s="41" t="s">
        <v>73</v>
      </c>
      <c r="Q83" s="43"/>
      <c r="R83" s="43"/>
      <c r="S83" s="45"/>
    </row>
    <row r="84" s="2" customFormat="1" ht="27" hidden="1" spans="1:19">
      <c r="A84" s="34" t="s">
        <v>254</v>
      </c>
      <c r="B84" s="35" t="s">
        <v>21</v>
      </c>
      <c r="C84" s="35" t="s">
        <v>281</v>
      </c>
      <c r="D84" s="35" t="s">
        <v>282</v>
      </c>
      <c r="E84" s="35" t="s">
        <v>283</v>
      </c>
      <c r="F84" s="35">
        <v>6</v>
      </c>
      <c r="G84" s="35">
        <v>2025.4</v>
      </c>
      <c r="H84" s="35">
        <v>22</v>
      </c>
      <c r="I84" s="35">
        <v>6</v>
      </c>
      <c r="J84" s="35" t="s">
        <v>25</v>
      </c>
      <c r="K84" s="39" t="s">
        <v>300</v>
      </c>
      <c r="L84" s="39" t="s">
        <v>301</v>
      </c>
      <c r="M84" s="39" t="s">
        <v>36</v>
      </c>
      <c r="N84" s="40" t="s">
        <v>160</v>
      </c>
      <c r="O84" s="41" t="s">
        <v>72</v>
      </c>
      <c r="P84" s="41" t="s">
        <v>73</v>
      </c>
      <c r="Q84" s="43"/>
      <c r="R84" s="43"/>
      <c r="S84" s="45"/>
    </row>
    <row r="85" s="2" customFormat="1" ht="27" hidden="1" spans="1:19">
      <c r="A85" s="34" t="s">
        <v>254</v>
      </c>
      <c r="B85" s="35" t="s">
        <v>21</v>
      </c>
      <c r="C85" s="35" t="s">
        <v>281</v>
      </c>
      <c r="D85" s="35" t="s">
        <v>282</v>
      </c>
      <c r="E85" s="35" t="s">
        <v>283</v>
      </c>
      <c r="F85" s="35">
        <v>6</v>
      </c>
      <c r="G85" s="35">
        <v>2025.4</v>
      </c>
      <c r="H85" s="35">
        <v>22</v>
      </c>
      <c r="I85" s="35">
        <v>6</v>
      </c>
      <c r="J85" s="35" t="s">
        <v>25</v>
      </c>
      <c r="K85" s="39" t="s">
        <v>302</v>
      </c>
      <c r="L85" s="39" t="s">
        <v>303</v>
      </c>
      <c r="M85" s="39" t="s">
        <v>36</v>
      </c>
      <c r="N85" s="40" t="s">
        <v>160</v>
      </c>
      <c r="O85" s="41" t="s">
        <v>72</v>
      </c>
      <c r="P85" s="41" t="s">
        <v>73</v>
      </c>
      <c r="Q85" s="43"/>
      <c r="R85" s="43"/>
      <c r="S85" s="45"/>
    </row>
    <row r="86" s="2" customFormat="1" ht="27" hidden="1" spans="1:19">
      <c r="A86" s="43" t="s">
        <v>304</v>
      </c>
      <c r="B86" s="133" t="s">
        <v>305</v>
      </c>
      <c r="C86" s="133"/>
      <c r="D86" s="133"/>
      <c r="E86" s="133"/>
      <c r="F86" s="133"/>
      <c r="G86" s="133"/>
      <c r="H86" s="133"/>
      <c r="I86" s="133"/>
      <c r="J86" s="133"/>
      <c r="K86" s="146" t="s">
        <v>306</v>
      </c>
      <c r="L86" s="147" t="s">
        <v>307</v>
      </c>
      <c r="M86" s="106" t="s">
        <v>308</v>
      </c>
      <c r="N86" s="106" t="s">
        <v>309</v>
      </c>
      <c r="O86" s="128" t="s">
        <v>310</v>
      </c>
      <c r="P86" s="128"/>
      <c r="Q86" s="128"/>
      <c r="R86" s="128"/>
      <c r="S86" s="106"/>
    </row>
    <row r="87" s="2" customFormat="1" ht="27" hidden="1" spans="1:19">
      <c r="A87" s="43" t="s">
        <v>311</v>
      </c>
      <c r="B87" s="133" t="s">
        <v>312</v>
      </c>
      <c r="C87" s="133"/>
      <c r="D87" s="133"/>
      <c r="E87" s="133"/>
      <c r="F87" s="133"/>
      <c r="G87" s="133"/>
      <c r="H87" s="133"/>
      <c r="I87" s="133"/>
      <c r="J87" s="133"/>
      <c r="K87" s="146"/>
      <c r="L87" s="147"/>
      <c r="M87" s="106"/>
      <c r="N87" s="106"/>
      <c r="O87" s="129"/>
      <c r="P87" s="129"/>
      <c r="Q87" s="128"/>
      <c r="R87" s="128"/>
      <c r="S87" s="106"/>
    </row>
    <row r="88" s="2" customFormat="1" ht="24" spans="1:19">
      <c r="A88" s="54" t="s">
        <v>313</v>
      </c>
      <c r="B88" s="54" t="s">
        <v>21</v>
      </c>
      <c r="C88" s="54" t="s">
        <v>314</v>
      </c>
      <c r="D88" s="54" t="s">
        <v>315</v>
      </c>
      <c r="E88" s="54" t="s">
        <v>316</v>
      </c>
      <c r="F88" s="54">
        <v>2</v>
      </c>
      <c r="G88" s="54">
        <v>2024.7</v>
      </c>
      <c r="H88" s="54">
        <v>30</v>
      </c>
      <c r="I88" s="54">
        <v>2</v>
      </c>
      <c r="J88" s="47" t="s">
        <v>67</v>
      </c>
      <c r="K88" s="67" t="s">
        <v>317</v>
      </c>
      <c r="L88" s="61" t="s">
        <v>318</v>
      </c>
      <c r="M88" s="61" t="s">
        <v>52</v>
      </c>
      <c r="N88" s="61" t="s">
        <v>187</v>
      </c>
      <c r="O88" s="68" t="s">
        <v>72</v>
      </c>
      <c r="P88" s="68" t="s">
        <v>73</v>
      </c>
      <c r="Q88" s="14"/>
      <c r="R88" s="14"/>
      <c r="S88" s="15"/>
    </row>
    <row r="89" s="2" customFormat="1" ht="48" hidden="1" customHeight="1" spans="1:19">
      <c r="A89" s="130" t="s">
        <v>313</v>
      </c>
      <c r="B89" s="130" t="s">
        <v>21</v>
      </c>
      <c r="C89" s="130" t="s">
        <v>314</v>
      </c>
      <c r="D89" s="130" t="s">
        <v>315</v>
      </c>
      <c r="E89" s="130" t="s">
        <v>316</v>
      </c>
      <c r="F89" s="130">
        <v>2</v>
      </c>
      <c r="G89" s="130">
        <v>2024.7</v>
      </c>
      <c r="H89" s="130">
        <v>30</v>
      </c>
      <c r="I89" s="130">
        <v>2</v>
      </c>
      <c r="J89" s="82" t="s">
        <v>67</v>
      </c>
      <c r="K89" s="148" t="s">
        <v>317</v>
      </c>
      <c r="L89" s="116" t="s">
        <v>319</v>
      </c>
      <c r="M89" s="116" t="s">
        <v>36</v>
      </c>
      <c r="N89" s="116" t="s">
        <v>160</v>
      </c>
      <c r="O89" s="149" t="s">
        <v>72</v>
      </c>
      <c r="P89" s="149" t="s">
        <v>73</v>
      </c>
      <c r="Q89" s="43"/>
      <c r="R89" s="43"/>
      <c r="S89" s="45"/>
    </row>
    <row r="90" s="2" customFormat="1" ht="40.5" hidden="1" spans="1:19">
      <c r="A90" s="130" t="s">
        <v>313</v>
      </c>
      <c r="B90" s="34" t="s">
        <v>21</v>
      </c>
      <c r="C90" s="34" t="s">
        <v>314</v>
      </c>
      <c r="D90" s="34" t="s">
        <v>320</v>
      </c>
      <c r="E90" s="34" t="s">
        <v>321</v>
      </c>
      <c r="F90" s="34">
        <v>2</v>
      </c>
      <c r="G90" s="34">
        <v>2023.7</v>
      </c>
      <c r="H90" s="34">
        <v>14</v>
      </c>
      <c r="I90" s="34">
        <v>2</v>
      </c>
      <c r="J90" s="82" t="s">
        <v>67</v>
      </c>
      <c r="K90" s="166" t="s">
        <v>322</v>
      </c>
      <c r="L90" s="116" t="s">
        <v>423</v>
      </c>
      <c r="M90" s="116" t="s">
        <v>44</v>
      </c>
      <c r="N90" s="116" t="s">
        <v>45</v>
      </c>
      <c r="O90" s="149" t="s">
        <v>72</v>
      </c>
      <c r="P90" s="149" t="s">
        <v>73</v>
      </c>
      <c r="Q90" s="43"/>
      <c r="R90" s="43"/>
      <c r="S90" s="45"/>
    </row>
    <row r="91" s="2" customFormat="1" ht="40.5" hidden="1" spans="1:19">
      <c r="A91" s="130" t="s">
        <v>313</v>
      </c>
      <c r="B91" s="34" t="s">
        <v>21</v>
      </c>
      <c r="C91" s="34" t="s">
        <v>314</v>
      </c>
      <c r="D91" s="34" t="s">
        <v>320</v>
      </c>
      <c r="E91" s="34" t="s">
        <v>321</v>
      </c>
      <c r="F91" s="34">
        <v>2</v>
      </c>
      <c r="G91" s="34">
        <v>2023.7</v>
      </c>
      <c r="H91" s="34">
        <v>14</v>
      </c>
      <c r="I91" s="34">
        <v>2</v>
      </c>
      <c r="J91" s="82" t="s">
        <v>67</v>
      </c>
      <c r="K91" s="166" t="s">
        <v>324</v>
      </c>
      <c r="L91" s="116" t="s">
        <v>325</v>
      </c>
      <c r="M91" s="116" t="s">
        <v>70</v>
      </c>
      <c r="N91" s="116" t="s">
        <v>326</v>
      </c>
      <c r="O91" s="149" t="s">
        <v>72</v>
      </c>
      <c r="P91" s="149" t="s">
        <v>73</v>
      </c>
      <c r="Q91" s="43"/>
      <c r="R91" s="43"/>
      <c r="S91" s="45"/>
    </row>
    <row r="92" s="2" customFormat="1" ht="54" hidden="1" spans="1:19">
      <c r="A92" s="130" t="s">
        <v>313</v>
      </c>
      <c r="B92" s="34" t="s">
        <v>21</v>
      </c>
      <c r="C92" s="34" t="s">
        <v>327</v>
      </c>
      <c r="D92" s="34" t="s">
        <v>328</v>
      </c>
      <c r="E92" s="34" t="s">
        <v>329</v>
      </c>
      <c r="F92" s="34">
        <v>10</v>
      </c>
      <c r="G92" s="34">
        <v>2025.4</v>
      </c>
      <c r="H92" s="34">
        <v>30</v>
      </c>
      <c r="I92" s="34">
        <v>10</v>
      </c>
      <c r="J92" s="35" t="s">
        <v>25</v>
      </c>
      <c r="K92" s="116" t="s">
        <v>330</v>
      </c>
      <c r="L92" s="116" t="s">
        <v>331</v>
      </c>
      <c r="M92" s="116" t="s">
        <v>332</v>
      </c>
      <c r="N92" s="116" t="s">
        <v>98</v>
      </c>
      <c r="O92" s="149" t="s">
        <v>72</v>
      </c>
      <c r="P92" s="149" t="s">
        <v>73</v>
      </c>
      <c r="Q92" s="43"/>
      <c r="R92" s="43"/>
      <c r="S92" s="45"/>
    </row>
    <row r="93" s="2" customFormat="1" ht="54" hidden="1" spans="1:19">
      <c r="A93" s="130" t="s">
        <v>313</v>
      </c>
      <c r="B93" s="34" t="s">
        <v>21</v>
      </c>
      <c r="C93" s="34" t="s">
        <v>327</v>
      </c>
      <c r="D93" s="34" t="s">
        <v>328</v>
      </c>
      <c r="E93" s="34" t="s">
        <v>329</v>
      </c>
      <c r="F93" s="34">
        <v>10</v>
      </c>
      <c r="G93" s="34">
        <v>2025.4</v>
      </c>
      <c r="H93" s="34">
        <v>30</v>
      </c>
      <c r="I93" s="34">
        <v>10</v>
      </c>
      <c r="J93" s="35" t="s">
        <v>25</v>
      </c>
      <c r="K93" s="116" t="s">
        <v>330</v>
      </c>
      <c r="L93" s="116" t="s">
        <v>333</v>
      </c>
      <c r="M93" s="116" t="s">
        <v>332</v>
      </c>
      <c r="N93" s="116" t="s">
        <v>98</v>
      </c>
      <c r="O93" s="149" t="s">
        <v>72</v>
      </c>
      <c r="P93" s="149" t="s">
        <v>73</v>
      </c>
      <c r="Q93" s="43"/>
      <c r="R93" s="43"/>
      <c r="S93" s="45"/>
    </row>
    <row r="94" s="2" customFormat="1" ht="54" hidden="1" spans="1:19">
      <c r="A94" s="130" t="s">
        <v>313</v>
      </c>
      <c r="B94" s="34" t="s">
        <v>21</v>
      </c>
      <c r="C94" s="34" t="s">
        <v>327</v>
      </c>
      <c r="D94" s="34" t="s">
        <v>328</v>
      </c>
      <c r="E94" s="34" t="s">
        <v>329</v>
      </c>
      <c r="F94" s="34">
        <v>10</v>
      </c>
      <c r="G94" s="34">
        <v>2025.4</v>
      </c>
      <c r="H94" s="34">
        <v>30</v>
      </c>
      <c r="I94" s="34">
        <v>10</v>
      </c>
      <c r="J94" s="35" t="s">
        <v>25</v>
      </c>
      <c r="K94" s="116" t="s">
        <v>330</v>
      </c>
      <c r="L94" s="116" t="s">
        <v>334</v>
      </c>
      <c r="M94" s="116" t="s">
        <v>332</v>
      </c>
      <c r="N94" s="116" t="s">
        <v>98</v>
      </c>
      <c r="O94" s="149" t="s">
        <v>72</v>
      </c>
      <c r="P94" s="149" t="s">
        <v>73</v>
      </c>
      <c r="Q94" s="43"/>
      <c r="R94" s="43"/>
      <c r="S94" s="45"/>
    </row>
    <row r="95" s="2" customFormat="1" ht="54" hidden="1" spans="1:19">
      <c r="A95" s="130" t="s">
        <v>313</v>
      </c>
      <c r="B95" s="34" t="s">
        <v>21</v>
      </c>
      <c r="C95" s="34" t="s">
        <v>327</v>
      </c>
      <c r="D95" s="34" t="s">
        <v>328</v>
      </c>
      <c r="E95" s="34" t="s">
        <v>329</v>
      </c>
      <c r="F95" s="34">
        <v>10</v>
      </c>
      <c r="G95" s="34">
        <v>2025.4</v>
      </c>
      <c r="H95" s="34">
        <v>30</v>
      </c>
      <c r="I95" s="34">
        <v>10</v>
      </c>
      <c r="J95" s="35" t="s">
        <v>25</v>
      </c>
      <c r="K95" s="127" t="s">
        <v>330</v>
      </c>
      <c r="L95" s="116" t="s">
        <v>334</v>
      </c>
      <c r="M95" s="116" t="s">
        <v>332</v>
      </c>
      <c r="N95" s="116" t="s">
        <v>98</v>
      </c>
      <c r="O95" s="149" t="s">
        <v>72</v>
      </c>
      <c r="P95" s="149" t="s">
        <v>73</v>
      </c>
      <c r="Q95" s="43"/>
      <c r="R95" s="43"/>
      <c r="S95" s="45"/>
    </row>
    <row r="96" s="2" customFormat="1" ht="18" hidden="1" customHeight="1" spans="1:19">
      <c r="A96" s="85" t="s">
        <v>335</v>
      </c>
      <c r="B96" s="45" t="s">
        <v>63</v>
      </c>
      <c r="C96" s="45" t="s">
        <v>270</v>
      </c>
      <c r="D96" s="45" t="s">
        <v>336</v>
      </c>
      <c r="E96" s="45" t="s">
        <v>337</v>
      </c>
      <c r="F96" s="45">
        <v>1</v>
      </c>
      <c r="G96" s="45">
        <v>2024.3</v>
      </c>
      <c r="H96" s="45">
        <v>22</v>
      </c>
      <c r="I96" s="45">
        <v>1</v>
      </c>
      <c r="J96" s="85" t="s">
        <v>153</v>
      </c>
      <c r="K96" s="153" t="s">
        <v>338</v>
      </c>
      <c r="L96" s="155" t="s">
        <v>339</v>
      </c>
      <c r="M96" s="110" t="s">
        <v>70</v>
      </c>
      <c r="N96" s="167" t="s">
        <v>71</v>
      </c>
      <c r="O96" s="43" t="s">
        <v>340</v>
      </c>
      <c r="P96" s="43" t="s">
        <v>341</v>
      </c>
      <c r="Q96" s="170"/>
      <c r="R96" s="44"/>
      <c r="S96" s="99"/>
    </row>
    <row r="97" s="2" customFormat="1" ht="27" hidden="1" spans="1:19">
      <c r="A97" s="85" t="s">
        <v>335</v>
      </c>
      <c r="B97" s="45"/>
      <c r="C97" s="45"/>
      <c r="D97" s="45"/>
      <c r="E97" s="45"/>
      <c r="F97" s="45"/>
      <c r="G97" s="45"/>
      <c r="H97" s="45"/>
      <c r="I97" s="45"/>
      <c r="J97" s="85" t="s">
        <v>153</v>
      </c>
      <c r="K97" s="153" t="s">
        <v>342</v>
      </c>
      <c r="L97" s="168" t="s">
        <v>343</v>
      </c>
      <c r="M97" s="153" t="s">
        <v>84</v>
      </c>
      <c r="N97" s="169" t="s">
        <v>84</v>
      </c>
      <c r="O97" s="43"/>
      <c r="P97" s="43"/>
      <c r="S97" s="4"/>
    </row>
    <row r="98" s="84" customFormat="1" spans="1:19">
      <c r="A98" s="24" t="s">
        <v>335</v>
      </c>
      <c r="B98" s="15" t="s">
        <v>63</v>
      </c>
      <c r="C98" s="15" t="s">
        <v>344</v>
      </c>
      <c r="D98" s="15" t="s">
        <v>206</v>
      </c>
      <c r="E98" s="15" t="s">
        <v>207</v>
      </c>
      <c r="F98" s="15">
        <v>2</v>
      </c>
      <c r="G98" s="15">
        <v>2025.4</v>
      </c>
      <c r="H98" s="15">
        <v>18</v>
      </c>
      <c r="I98" s="15">
        <v>2</v>
      </c>
      <c r="J98" s="24" t="s">
        <v>153</v>
      </c>
      <c r="K98" s="15" t="s">
        <v>345</v>
      </c>
      <c r="L98" s="48" t="s">
        <v>346</v>
      </c>
      <c r="M98" s="48" t="s">
        <v>52</v>
      </c>
      <c r="N98" s="48" t="s">
        <v>187</v>
      </c>
      <c r="O98" s="15" t="s">
        <v>347</v>
      </c>
      <c r="P98" s="15" t="s">
        <v>157</v>
      </c>
      <c r="Q98" s="48"/>
      <c r="R98" s="48"/>
      <c r="S98" s="48"/>
    </row>
    <row r="99" s="84" customFormat="1" ht="27" hidden="1" spans="1:16">
      <c r="A99" s="85" t="s">
        <v>335</v>
      </c>
      <c r="B99" s="85" t="s">
        <v>21</v>
      </c>
      <c r="C99" s="85" t="s">
        <v>348</v>
      </c>
      <c r="D99" s="85" t="s">
        <v>349</v>
      </c>
      <c r="E99" s="85" t="s">
        <v>350</v>
      </c>
      <c r="F99" s="85">
        <v>7</v>
      </c>
      <c r="G99" s="85">
        <v>2024.11</v>
      </c>
      <c r="H99" s="85">
        <v>20</v>
      </c>
      <c r="I99" s="85">
        <v>7</v>
      </c>
      <c r="J99" s="85" t="s">
        <v>153</v>
      </c>
      <c r="K99" s="153" t="s">
        <v>351</v>
      </c>
      <c r="L99" s="148" t="s">
        <v>352</v>
      </c>
      <c r="M99" s="37" t="s">
        <v>353</v>
      </c>
      <c r="N99" s="154" t="s">
        <v>354</v>
      </c>
      <c r="O99" s="85" t="s">
        <v>355</v>
      </c>
      <c r="P99" s="85" t="s">
        <v>73</v>
      </c>
    </row>
    <row r="100" s="84" customFormat="1" ht="27" hidden="1" spans="1:16">
      <c r="A100" s="85" t="s">
        <v>335</v>
      </c>
      <c r="B100" s="85" t="s">
        <v>21</v>
      </c>
      <c r="C100" s="85" t="s">
        <v>348</v>
      </c>
      <c r="D100" s="85" t="s">
        <v>349</v>
      </c>
      <c r="E100" s="85" t="s">
        <v>350</v>
      </c>
      <c r="F100" s="85">
        <v>7</v>
      </c>
      <c r="G100" s="85">
        <v>2024.11</v>
      </c>
      <c r="H100" s="85">
        <v>20</v>
      </c>
      <c r="I100" s="85">
        <v>7</v>
      </c>
      <c r="J100" s="85" t="s">
        <v>153</v>
      </c>
      <c r="K100" s="153" t="s">
        <v>356</v>
      </c>
      <c r="L100" s="148" t="s">
        <v>357</v>
      </c>
      <c r="M100" s="37" t="s">
        <v>353</v>
      </c>
      <c r="N100" s="154" t="s">
        <v>354</v>
      </c>
      <c r="O100" s="85" t="s">
        <v>355</v>
      </c>
      <c r="P100" s="85" t="s">
        <v>73</v>
      </c>
    </row>
    <row r="101" s="84" customFormat="1" ht="27" hidden="1" spans="1:16">
      <c r="A101" s="85" t="s">
        <v>335</v>
      </c>
      <c r="B101" s="85" t="s">
        <v>21</v>
      </c>
      <c r="C101" s="85" t="s">
        <v>348</v>
      </c>
      <c r="D101" s="85" t="s">
        <v>349</v>
      </c>
      <c r="E101" s="85" t="s">
        <v>350</v>
      </c>
      <c r="F101" s="85">
        <v>7</v>
      </c>
      <c r="G101" s="85">
        <v>2024.11</v>
      </c>
      <c r="H101" s="85">
        <v>20</v>
      </c>
      <c r="I101" s="85">
        <v>7</v>
      </c>
      <c r="J101" s="85" t="s">
        <v>153</v>
      </c>
      <c r="K101" s="153" t="s">
        <v>358</v>
      </c>
      <c r="L101" s="148" t="s">
        <v>359</v>
      </c>
      <c r="M101" s="37" t="s">
        <v>353</v>
      </c>
      <c r="N101" s="154" t="s">
        <v>354</v>
      </c>
      <c r="O101" s="85" t="s">
        <v>355</v>
      </c>
      <c r="P101" s="85" t="s">
        <v>73</v>
      </c>
    </row>
    <row r="102" s="84" customFormat="1" ht="27" hidden="1" spans="1:16">
      <c r="A102" s="85" t="s">
        <v>335</v>
      </c>
      <c r="B102" s="85" t="s">
        <v>21</v>
      </c>
      <c r="C102" s="85" t="s">
        <v>348</v>
      </c>
      <c r="D102" s="85" t="s">
        <v>349</v>
      </c>
      <c r="E102" s="85" t="s">
        <v>350</v>
      </c>
      <c r="F102" s="85">
        <v>7</v>
      </c>
      <c r="G102" s="85">
        <v>2024.11</v>
      </c>
      <c r="H102" s="85">
        <v>20</v>
      </c>
      <c r="I102" s="85">
        <v>7</v>
      </c>
      <c r="J102" s="85" t="s">
        <v>153</v>
      </c>
      <c r="K102" s="153" t="s">
        <v>360</v>
      </c>
      <c r="L102" s="148" t="s">
        <v>361</v>
      </c>
      <c r="M102" s="37" t="s">
        <v>353</v>
      </c>
      <c r="N102" s="154" t="s">
        <v>354</v>
      </c>
      <c r="O102" s="85" t="s">
        <v>355</v>
      </c>
      <c r="P102" s="85" t="s">
        <v>73</v>
      </c>
    </row>
    <row r="103" s="84" customFormat="1" ht="27" hidden="1" spans="1:16">
      <c r="A103" s="85" t="s">
        <v>335</v>
      </c>
      <c r="B103" s="85" t="s">
        <v>21</v>
      </c>
      <c r="C103" s="85" t="s">
        <v>348</v>
      </c>
      <c r="D103" s="85" t="s">
        <v>349</v>
      </c>
      <c r="E103" s="85" t="s">
        <v>350</v>
      </c>
      <c r="F103" s="85">
        <v>7</v>
      </c>
      <c r="G103" s="85">
        <v>2024.11</v>
      </c>
      <c r="H103" s="85">
        <v>20</v>
      </c>
      <c r="I103" s="85">
        <v>7</v>
      </c>
      <c r="J103" s="85" t="s">
        <v>153</v>
      </c>
      <c r="K103" s="153" t="s">
        <v>362</v>
      </c>
      <c r="L103" s="148" t="s">
        <v>363</v>
      </c>
      <c r="M103" s="37" t="s">
        <v>353</v>
      </c>
      <c r="N103" s="154" t="s">
        <v>354</v>
      </c>
      <c r="O103" s="85" t="s">
        <v>355</v>
      </c>
      <c r="P103" s="85" t="s">
        <v>73</v>
      </c>
    </row>
    <row r="104" s="84" customFormat="1" ht="40.5" hidden="1" spans="1:16">
      <c r="A104" s="85" t="s">
        <v>335</v>
      </c>
      <c r="B104" s="85" t="s">
        <v>21</v>
      </c>
      <c r="C104" s="85" t="s">
        <v>348</v>
      </c>
      <c r="D104" s="85" t="s">
        <v>349</v>
      </c>
      <c r="E104" s="85" t="s">
        <v>350</v>
      </c>
      <c r="F104" s="85">
        <v>7</v>
      </c>
      <c r="G104" s="85">
        <v>2024.11</v>
      </c>
      <c r="H104" s="85">
        <v>20</v>
      </c>
      <c r="I104" s="85">
        <v>7</v>
      </c>
      <c r="J104" s="85" t="s">
        <v>153</v>
      </c>
      <c r="K104" s="110" t="s">
        <v>364</v>
      </c>
      <c r="L104" s="155" t="s">
        <v>365</v>
      </c>
      <c r="M104" s="109" t="s">
        <v>353</v>
      </c>
      <c r="N104" s="156" t="s">
        <v>354</v>
      </c>
      <c r="O104" s="34" t="s">
        <v>355</v>
      </c>
      <c r="P104" s="34" t="s">
        <v>73</v>
      </c>
    </row>
    <row r="105" s="84" customFormat="1" ht="40.5" hidden="1" spans="1:17">
      <c r="A105" s="85" t="s">
        <v>366</v>
      </c>
      <c r="B105" s="41" t="s">
        <v>21</v>
      </c>
      <c r="C105" s="41" t="s">
        <v>367</v>
      </c>
      <c r="D105" s="41" t="s">
        <v>368</v>
      </c>
      <c r="E105" s="41" t="s">
        <v>369</v>
      </c>
      <c r="F105" s="41">
        <v>11</v>
      </c>
      <c r="G105" s="41">
        <v>2025.2</v>
      </c>
      <c r="H105" s="41">
        <v>22</v>
      </c>
      <c r="I105" s="41">
        <v>11</v>
      </c>
      <c r="J105" s="41" t="s">
        <v>278</v>
      </c>
      <c r="K105" s="39" t="s">
        <v>370</v>
      </c>
      <c r="L105" s="39" t="s">
        <v>371</v>
      </c>
      <c r="M105" s="39" t="s">
        <v>132</v>
      </c>
      <c r="N105" s="39" t="s">
        <v>372</v>
      </c>
      <c r="O105" s="85" t="s">
        <v>72</v>
      </c>
      <c r="P105" s="85" t="s">
        <v>73</v>
      </c>
      <c r="Q105" s="85"/>
    </row>
    <row r="106" s="2" customFormat="1" ht="40.5" hidden="1" spans="1:17">
      <c r="A106" s="85" t="s">
        <v>366</v>
      </c>
      <c r="B106" s="41" t="s">
        <v>21</v>
      </c>
      <c r="C106" s="41" t="s">
        <v>367</v>
      </c>
      <c r="D106" s="41" t="s">
        <v>368</v>
      </c>
      <c r="E106" s="41" t="s">
        <v>369</v>
      </c>
      <c r="F106" s="41">
        <v>11</v>
      </c>
      <c r="G106" s="41">
        <v>2025.2</v>
      </c>
      <c r="H106" s="41">
        <v>22</v>
      </c>
      <c r="I106" s="41">
        <v>11</v>
      </c>
      <c r="J106" s="41" t="s">
        <v>278</v>
      </c>
      <c r="K106" s="39" t="s">
        <v>373</v>
      </c>
      <c r="L106" s="39" t="s">
        <v>374</v>
      </c>
      <c r="M106" s="39" t="s">
        <v>375</v>
      </c>
      <c r="N106" s="39" t="s">
        <v>376</v>
      </c>
      <c r="O106" s="85"/>
      <c r="P106" s="85" t="s">
        <v>73</v>
      </c>
      <c r="Q106" s="43"/>
    </row>
    <row r="107" s="2" customFormat="1" ht="27" hidden="1" spans="1:19">
      <c r="A107" s="85" t="s">
        <v>366</v>
      </c>
      <c r="B107" s="41" t="s">
        <v>21</v>
      </c>
      <c r="C107" s="41" t="s">
        <v>367</v>
      </c>
      <c r="D107" s="41" t="s">
        <v>368</v>
      </c>
      <c r="E107" s="41" t="s">
        <v>369</v>
      </c>
      <c r="F107" s="41">
        <v>11</v>
      </c>
      <c r="G107" s="41">
        <v>2025.2</v>
      </c>
      <c r="H107" s="41">
        <v>22</v>
      </c>
      <c r="I107" s="41">
        <v>11</v>
      </c>
      <c r="J107" s="41" t="s">
        <v>278</v>
      </c>
      <c r="K107" s="39" t="s">
        <v>377</v>
      </c>
      <c r="L107" s="39" t="s">
        <v>378</v>
      </c>
      <c r="M107" s="39" t="s">
        <v>132</v>
      </c>
      <c r="N107" s="39" t="s">
        <v>372</v>
      </c>
      <c r="O107" s="85"/>
      <c r="P107" s="85" t="s">
        <v>73</v>
      </c>
      <c r="Q107" s="43"/>
      <c r="R107" s="158"/>
      <c r="S107" s="45"/>
    </row>
    <row r="108" s="2" customFormat="1" ht="27" hidden="1" spans="1:19">
      <c r="A108" s="85" t="s">
        <v>366</v>
      </c>
      <c r="B108" s="41" t="s">
        <v>21</v>
      </c>
      <c r="C108" s="41" t="s">
        <v>367</v>
      </c>
      <c r="D108" s="41" t="s">
        <v>368</v>
      </c>
      <c r="E108" s="41" t="s">
        <v>369</v>
      </c>
      <c r="F108" s="41">
        <v>11</v>
      </c>
      <c r="G108" s="41">
        <v>2025.2</v>
      </c>
      <c r="H108" s="41">
        <v>22</v>
      </c>
      <c r="I108" s="41">
        <v>11</v>
      </c>
      <c r="J108" s="41" t="s">
        <v>278</v>
      </c>
      <c r="K108" s="39" t="s">
        <v>379</v>
      </c>
      <c r="L108" s="39" t="s">
        <v>380</v>
      </c>
      <c r="M108" s="157"/>
      <c r="N108" s="157"/>
      <c r="O108" s="85"/>
      <c r="P108" s="85" t="s">
        <v>73</v>
      </c>
      <c r="Q108" s="43"/>
      <c r="R108" s="158"/>
      <c r="S108" s="45"/>
    </row>
    <row r="109" s="2" customFormat="1" ht="40.5" hidden="1" spans="1:19">
      <c r="A109" s="85" t="s">
        <v>366</v>
      </c>
      <c r="B109" s="41" t="s">
        <v>21</v>
      </c>
      <c r="C109" s="41" t="s">
        <v>367</v>
      </c>
      <c r="D109" s="41" t="s">
        <v>368</v>
      </c>
      <c r="E109" s="41" t="s">
        <v>369</v>
      </c>
      <c r="F109" s="41">
        <v>11</v>
      </c>
      <c r="G109" s="41">
        <v>2025.2</v>
      </c>
      <c r="H109" s="41">
        <v>22</v>
      </c>
      <c r="I109" s="41">
        <v>11</v>
      </c>
      <c r="J109" s="41" t="s">
        <v>278</v>
      </c>
      <c r="K109" s="39" t="s">
        <v>381</v>
      </c>
      <c r="L109" s="39" t="s">
        <v>382</v>
      </c>
      <c r="M109" s="39" t="s">
        <v>383</v>
      </c>
      <c r="N109" s="39" t="s">
        <v>176</v>
      </c>
      <c r="O109" s="85"/>
      <c r="P109" s="85" t="s">
        <v>73</v>
      </c>
      <c r="Q109" s="43"/>
      <c r="R109" s="158"/>
      <c r="S109" s="45"/>
    </row>
    <row r="110" s="2" customFormat="1" ht="21" hidden="1" customHeight="1" spans="1:19">
      <c r="A110" s="85" t="s">
        <v>366</v>
      </c>
      <c r="B110" s="41" t="s">
        <v>21</v>
      </c>
      <c r="C110" s="41" t="s">
        <v>367</v>
      </c>
      <c r="D110" s="41" t="s">
        <v>368</v>
      </c>
      <c r="E110" s="41" t="s">
        <v>369</v>
      </c>
      <c r="F110" s="41">
        <v>11</v>
      </c>
      <c r="G110" s="41">
        <v>2025.2</v>
      </c>
      <c r="H110" s="41">
        <v>22</v>
      </c>
      <c r="I110" s="41">
        <v>11</v>
      </c>
      <c r="J110" s="41" t="s">
        <v>278</v>
      </c>
      <c r="K110" s="39" t="s">
        <v>384</v>
      </c>
      <c r="L110" s="39" t="s">
        <v>385</v>
      </c>
      <c r="M110" s="39" t="s">
        <v>70</v>
      </c>
      <c r="N110" s="39" t="s">
        <v>168</v>
      </c>
      <c r="O110" s="85"/>
      <c r="P110" s="85" t="s">
        <v>73</v>
      </c>
      <c r="Q110" s="43"/>
      <c r="R110" s="158"/>
      <c r="S110" s="45"/>
    </row>
    <row r="111" s="2" customFormat="1" ht="27" hidden="1" spans="1:19">
      <c r="A111" s="85" t="s">
        <v>366</v>
      </c>
      <c r="B111" s="41" t="s">
        <v>21</v>
      </c>
      <c r="C111" s="41" t="s">
        <v>367</v>
      </c>
      <c r="D111" s="41" t="s">
        <v>368</v>
      </c>
      <c r="E111" s="41" t="s">
        <v>369</v>
      </c>
      <c r="F111" s="41">
        <v>11</v>
      </c>
      <c r="G111" s="41">
        <v>2025.2</v>
      </c>
      <c r="H111" s="41">
        <v>22</v>
      </c>
      <c r="I111" s="41">
        <v>11</v>
      </c>
      <c r="J111" s="41" t="s">
        <v>278</v>
      </c>
      <c r="K111" s="39" t="s">
        <v>424</v>
      </c>
      <c r="L111" s="157" t="s">
        <v>387</v>
      </c>
      <c r="M111" s="39" t="s">
        <v>388</v>
      </c>
      <c r="N111" s="157"/>
      <c r="O111" s="85"/>
      <c r="P111" s="85" t="s">
        <v>73</v>
      </c>
      <c r="Q111" s="43"/>
      <c r="R111" s="158"/>
      <c r="S111" s="45"/>
    </row>
    <row r="112" s="2" customFormat="1" ht="27" hidden="1" spans="1:19">
      <c r="A112" s="85" t="s">
        <v>366</v>
      </c>
      <c r="B112" s="41" t="s">
        <v>21</v>
      </c>
      <c r="C112" s="41" t="s">
        <v>367</v>
      </c>
      <c r="D112" s="41" t="s">
        <v>368</v>
      </c>
      <c r="E112" s="41" t="s">
        <v>369</v>
      </c>
      <c r="F112" s="41">
        <v>11</v>
      </c>
      <c r="G112" s="41">
        <v>2025.2</v>
      </c>
      <c r="H112" s="41">
        <v>22</v>
      </c>
      <c r="I112" s="41">
        <v>11</v>
      </c>
      <c r="J112" s="41" t="s">
        <v>278</v>
      </c>
      <c r="K112" s="39" t="s">
        <v>389</v>
      </c>
      <c r="L112" s="157"/>
      <c r="M112" s="157" t="s">
        <v>230</v>
      </c>
      <c r="N112" s="157" t="s">
        <v>231</v>
      </c>
      <c r="O112" s="85"/>
      <c r="P112" s="85" t="s">
        <v>73</v>
      </c>
      <c r="Q112" s="43"/>
      <c r="R112" s="158"/>
      <c r="S112" s="45"/>
    </row>
    <row r="113" s="2" customFormat="1" ht="27" hidden="1" spans="1:19">
      <c r="A113" s="85" t="s">
        <v>366</v>
      </c>
      <c r="B113" s="41" t="s">
        <v>21</v>
      </c>
      <c r="C113" s="41" t="s">
        <v>367</v>
      </c>
      <c r="D113" s="41" t="s">
        <v>368</v>
      </c>
      <c r="E113" s="41" t="s">
        <v>369</v>
      </c>
      <c r="F113" s="41">
        <v>11</v>
      </c>
      <c r="G113" s="41">
        <v>2025.2</v>
      </c>
      <c r="H113" s="41">
        <v>22</v>
      </c>
      <c r="I113" s="41">
        <v>11</v>
      </c>
      <c r="J113" s="41" t="s">
        <v>278</v>
      </c>
      <c r="K113" s="39" t="s">
        <v>390</v>
      </c>
      <c r="L113" s="39" t="s">
        <v>391</v>
      </c>
      <c r="M113" s="39" t="s">
        <v>28</v>
      </c>
      <c r="N113" s="39" t="s">
        <v>29</v>
      </c>
      <c r="O113" s="85"/>
      <c r="P113" s="85" t="s">
        <v>73</v>
      </c>
      <c r="Q113" s="43"/>
      <c r="R113" s="158"/>
      <c r="S113" s="45"/>
    </row>
    <row r="114" ht="40.5" hidden="1" spans="1:17">
      <c r="A114" s="85" t="s">
        <v>366</v>
      </c>
      <c r="B114" s="41" t="s">
        <v>21</v>
      </c>
      <c r="C114" s="41" t="s">
        <v>367</v>
      </c>
      <c r="D114" s="41" t="s">
        <v>368</v>
      </c>
      <c r="E114" s="41" t="s">
        <v>369</v>
      </c>
      <c r="F114" s="41">
        <v>11</v>
      </c>
      <c r="G114" s="41">
        <v>2025.2</v>
      </c>
      <c r="H114" s="41">
        <v>22</v>
      </c>
      <c r="I114" s="41">
        <v>11</v>
      </c>
      <c r="J114" s="41" t="s">
        <v>278</v>
      </c>
      <c r="K114" s="39" t="s">
        <v>392</v>
      </c>
      <c r="L114" s="39" t="s">
        <v>393</v>
      </c>
      <c r="M114" s="157" t="s">
        <v>230</v>
      </c>
      <c r="N114" s="157" t="s">
        <v>231</v>
      </c>
      <c r="O114" s="85"/>
      <c r="P114" s="85" t="s">
        <v>73</v>
      </c>
      <c r="Q114" s="43"/>
    </row>
    <row r="115" s="3" customFormat="1" ht="40.5" hidden="1" spans="1:19">
      <c r="A115" s="85" t="s">
        <v>366</v>
      </c>
      <c r="B115" s="41" t="s">
        <v>21</v>
      </c>
      <c r="C115" s="41" t="s">
        <v>367</v>
      </c>
      <c r="D115" s="41" t="s">
        <v>368</v>
      </c>
      <c r="E115" s="41" t="s">
        <v>369</v>
      </c>
      <c r="F115" s="41">
        <v>11</v>
      </c>
      <c r="G115" s="41">
        <v>2025.2</v>
      </c>
      <c r="H115" s="41">
        <v>22</v>
      </c>
      <c r="I115" s="41">
        <v>11</v>
      </c>
      <c r="J115" s="41" t="s">
        <v>278</v>
      </c>
      <c r="K115" s="39" t="s">
        <v>394</v>
      </c>
      <c r="L115" s="39" t="s">
        <v>395</v>
      </c>
      <c r="M115" s="39" t="s">
        <v>36</v>
      </c>
      <c r="N115" s="39" t="s">
        <v>160</v>
      </c>
      <c r="O115" s="85"/>
      <c r="P115" s="85" t="s">
        <v>73</v>
      </c>
      <c r="Q115" s="43"/>
      <c r="R115" s="158"/>
      <c r="S115" s="45"/>
    </row>
    <row r="116" s="3" customFormat="1" ht="24" spans="1:19">
      <c r="A116" s="24" t="s">
        <v>20</v>
      </c>
      <c r="B116" s="24" t="s">
        <v>21</v>
      </c>
      <c r="C116" s="24" t="s">
        <v>425</v>
      </c>
      <c r="D116" s="24" t="s">
        <v>426</v>
      </c>
      <c r="E116" s="24" t="s">
        <v>427</v>
      </c>
      <c r="F116" s="24">
        <v>12</v>
      </c>
      <c r="G116" s="52">
        <v>2024.3</v>
      </c>
      <c r="H116" s="24">
        <v>20</v>
      </c>
      <c r="I116" s="24">
        <v>12</v>
      </c>
      <c r="J116" s="24" t="s">
        <v>428</v>
      </c>
      <c r="K116" s="29" t="s">
        <v>598</v>
      </c>
      <c r="L116" s="29" t="s">
        <v>599</v>
      </c>
      <c r="M116" s="14" t="s">
        <v>52</v>
      </c>
      <c r="N116" s="30" t="s">
        <v>53</v>
      </c>
      <c r="O116" s="30" t="s">
        <v>431</v>
      </c>
      <c r="P116" s="30"/>
      <c r="Q116" s="30"/>
      <c r="R116" s="30"/>
      <c r="S116" s="30"/>
    </row>
    <row r="117" s="3" customFormat="1" ht="24" spans="1:19">
      <c r="A117" s="24" t="s">
        <v>20</v>
      </c>
      <c r="B117" s="24" t="s">
        <v>21</v>
      </c>
      <c r="C117" s="24" t="s">
        <v>425</v>
      </c>
      <c r="D117" s="24" t="s">
        <v>426</v>
      </c>
      <c r="E117" s="24" t="s">
        <v>427</v>
      </c>
      <c r="F117" s="24">
        <v>12</v>
      </c>
      <c r="G117" s="52">
        <v>2024.3</v>
      </c>
      <c r="H117" s="24">
        <v>20</v>
      </c>
      <c r="I117" s="24">
        <v>12</v>
      </c>
      <c r="J117" s="24" t="s">
        <v>428</v>
      </c>
      <c r="K117" s="29" t="s">
        <v>600</v>
      </c>
      <c r="L117" s="29" t="s">
        <v>601</v>
      </c>
      <c r="M117" s="14" t="s">
        <v>52</v>
      </c>
      <c r="N117" s="30" t="s">
        <v>602</v>
      </c>
      <c r="O117" s="30" t="s">
        <v>431</v>
      </c>
      <c r="P117" s="30"/>
      <c r="Q117" s="30"/>
      <c r="R117" s="30"/>
      <c r="S117" s="30"/>
    </row>
    <row r="118" s="3" customFormat="1" ht="96" spans="1:19">
      <c r="A118" s="50" t="s">
        <v>62</v>
      </c>
      <c r="B118" s="50" t="s">
        <v>63</v>
      </c>
      <c r="C118" s="50" t="s">
        <v>64</v>
      </c>
      <c r="D118" s="13" t="s">
        <v>603</v>
      </c>
      <c r="E118" s="13" t="s">
        <v>604</v>
      </c>
      <c r="F118" s="13">
        <v>1</v>
      </c>
      <c r="G118" s="13">
        <v>2024.7</v>
      </c>
      <c r="H118" s="13">
        <v>31</v>
      </c>
      <c r="I118" s="13">
        <v>1</v>
      </c>
      <c r="J118" s="24" t="s">
        <v>67</v>
      </c>
      <c r="K118" s="19" t="s">
        <v>605</v>
      </c>
      <c r="L118" s="19" t="s">
        <v>606</v>
      </c>
      <c r="M118" s="15" t="s">
        <v>52</v>
      </c>
      <c r="N118" s="30" t="s">
        <v>602</v>
      </c>
      <c r="O118" s="75" t="s">
        <v>439</v>
      </c>
      <c r="P118" s="75" t="s">
        <v>440</v>
      </c>
      <c r="Q118" s="14"/>
      <c r="R118" s="14"/>
      <c r="S118" s="15"/>
    </row>
    <row r="119" s="3" customFormat="1" ht="36" spans="1:19">
      <c r="A119" s="50" t="s">
        <v>62</v>
      </c>
      <c r="B119" s="50" t="s">
        <v>63</v>
      </c>
      <c r="C119" s="50" t="s">
        <v>64</v>
      </c>
      <c r="D119" s="13" t="s">
        <v>603</v>
      </c>
      <c r="E119" s="13" t="s">
        <v>604</v>
      </c>
      <c r="F119" s="13">
        <v>1</v>
      </c>
      <c r="G119" s="13">
        <v>2024.7</v>
      </c>
      <c r="H119" s="13">
        <v>31</v>
      </c>
      <c r="I119" s="13">
        <v>1</v>
      </c>
      <c r="J119" s="24" t="s">
        <v>67</v>
      </c>
      <c r="K119" s="19" t="s">
        <v>607</v>
      </c>
      <c r="L119" s="19" t="s">
        <v>608</v>
      </c>
      <c r="M119" s="15" t="s">
        <v>52</v>
      </c>
      <c r="N119" s="30" t="s">
        <v>602</v>
      </c>
      <c r="O119" s="75" t="s">
        <v>439</v>
      </c>
      <c r="P119" s="75" t="s">
        <v>440</v>
      </c>
      <c r="Q119" s="14"/>
      <c r="R119" s="14"/>
      <c r="S119" s="15"/>
    </row>
    <row r="120" s="3" customFormat="1" ht="36" spans="1:19">
      <c r="A120" s="50" t="s">
        <v>62</v>
      </c>
      <c r="B120" s="50" t="s">
        <v>63</v>
      </c>
      <c r="C120" s="50" t="s">
        <v>64</v>
      </c>
      <c r="D120" s="24" t="s">
        <v>609</v>
      </c>
      <c r="E120" s="24" t="s">
        <v>610</v>
      </c>
      <c r="F120" s="24">
        <v>1</v>
      </c>
      <c r="G120" s="52">
        <v>2025.4</v>
      </c>
      <c r="H120" s="24">
        <v>14</v>
      </c>
      <c r="I120" s="24">
        <v>1</v>
      </c>
      <c r="J120" s="15"/>
      <c r="K120" s="19" t="s">
        <v>611</v>
      </c>
      <c r="L120" s="19" t="s">
        <v>612</v>
      </c>
      <c r="M120" s="15" t="s">
        <v>52</v>
      </c>
      <c r="N120" s="15" t="s">
        <v>613</v>
      </c>
      <c r="O120" s="75" t="s">
        <v>439</v>
      </c>
      <c r="P120" s="75" t="s">
        <v>440</v>
      </c>
      <c r="Q120" s="14"/>
      <c r="R120" s="14"/>
      <c r="S120" s="15"/>
    </row>
    <row r="121" s="3" customFormat="1" spans="1:19">
      <c r="A121" s="52" t="s">
        <v>149</v>
      </c>
      <c r="B121" s="13" t="s">
        <v>21</v>
      </c>
      <c r="C121" s="13" t="s">
        <v>441</v>
      </c>
      <c r="D121" s="13" t="s">
        <v>172</v>
      </c>
      <c r="E121" s="13" t="s">
        <v>445</v>
      </c>
      <c r="F121" s="13">
        <v>3</v>
      </c>
      <c r="G121" s="13">
        <v>2025.3</v>
      </c>
      <c r="H121" s="13">
        <v>6</v>
      </c>
      <c r="I121" s="13">
        <v>3</v>
      </c>
      <c r="J121" s="24" t="s">
        <v>153</v>
      </c>
      <c r="K121" s="19" t="s">
        <v>614</v>
      </c>
      <c r="L121" s="19" t="s">
        <v>615</v>
      </c>
      <c r="M121" s="15" t="s">
        <v>52</v>
      </c>
      <c r="N121" s="15" t="s">
        <v>616</v>
      </c>
      <c r="O121" s="75" t="s">
        <v>439</v>
      </c>
      <c r="P121" s="75" t="s">
        <v>440</v>
      </c>
      <c r="Q121" s="14"/>
      <c r="R121" s="30"/>
      <c r="S121" s="15"/>
    </row>
    <row r="122" ht="24" spans="1:19">
      <c r="A122" s="24" t="s">
        <v>170</v>
      </c>
      <c r="B122" s="13" t="s">
        <v>63</v>
      </c>
      <c r="C122" s="13" t="s">
        <v>171</v>
      </c>
      <c r="D122" s="13" t="s">
        <v>454</v>
      </c>
      <c r="E122" s="13" t="s">
        <v>195</v>
      </c>
      <c r="F122" s="13">
        <v>3</v>
      </c>
      <c r="G122" s="13">
        <v>2025.4</v>
      </c>
      <c r="H122" s="13">
        <v>9</v>
      </c>
      <c r="I122" s="13">
        <v>3</v>
      </c>
      <c r="J122" s="24" t="s">
        <v>153</v>
      </c>
      <c r="K122" s="19" t="s">
        <v>617</v>
      </c>
      <c r="L122" s="19" t="s">
        <v>618</v>
      </c>
      <c r="M122" s="14" t="s">
        <v>52</v>
      </c>
      <c r="N122" s="15" t="s">
        <v>619</v>
      </c>
      <c r="O122" s="75" t="s">
        <v>439</v>
      </c>
      <c r="P122" s="75" t="s">
        <v>440</v>
      </c>
      <c r="Q122" s="14"/>
      <c r="R122" s="14"/>
      <c r="S122" s="15"/>
    </row>
    <row r="123" ht="36" spans="1:19">
      <c r="A123" s="24" t="s">
        <v>170</v>
      </c>
      <c r="B123" s="13"/>
      <c r="C123" s="13" t="s">
        <v>171</v>
      </c>
      <c r="D123" s="13"/>
      <c r="E123" s="13"/>
      <c r="F123" s="13"/>
      <c r="G123" s="13"/>
      <c r="H123" s="13"/>
      <c r="I123" s="13"/>
      <c r="J123" s="24" t="s">
        <v>153</v>
      </c>
      <c r="K123" s="19" t="s">
        <v>620</v>
      </c>
      <c r="L123" s="19" t="s">
        <v>621</v>
      </c>
      <c r="M123" s="14" t="s">
        <v>52</v>
      </c>
      <c r="N123" s="15" t="s">
        <v>619</v>
      </c>
      <c r="O123" s="75" t="s">
        <v>439</v>
      </c>
      <c r="P123" s="75" t="s">
        <v>440</v>
      </c>
      <c r="Q123" s="14"/>
      <c r="R123" s="14"/>
      <c r="S123" s="15"/>
    </row>
    <row r="124" ht="36" spans="1:19">
      <c r="A124" s="24" t="s">
        <v>170</v>
      </c>
      <c r="B124" s="13" t="s">
        <v>63</v>
      </c>
      <c r="C124" s="13" t="s">
        <v>171</v>
      </c>
      <c r="D124" s="13" t="s">
        <v>622</v>
      </c>
      <c r="E124" s="13" t="s">
        <v>623</v>
      </c>
      <c r="F124" s="13">
        <v>2</v>
      </c>
      <c r="G124" s="13">
        <v>2025.2</v>
      </c>
      <c r="H124" s="13">
        <v>11</v>
      </c>
      <c r="I124" s="13">
        <v>2</v>
      </c>
      <c r="J124" s="24" t="s">
        <v>153</v>
      </c>
      <c r="K124" s="19" t="s">
        <v>624</v>
      </c>
      <c r="L124" s="19" t="s">
        <v>625</v>
      </c>
      <c r="M124" s="14" t="s">
        <v>52</v>
      </c>
      <c r="N124" s="15" t="s">
        <v>619</v>
      </c>
      <c r="O124" s="75" t="s">
        <v>439</v>
      </c>
      <c r="P124" s="75" t="s">
        <v>440</v>
      </c>
      <c r="Q124" s="14"/>
      <c r="R124" s="14"/>
      <c r="S124" s="15"/>
    </row>
    <row r="125" ht="24" spans="1:19">
      <c r="A125" s="24" t="s">
        <v>170</v>
      </c>
      <c r="B125" s="13"/>
      <c r="C125" s="13" t="s">
        <v>171</v>
      </c>
      <c r="D125" s="13"/>
      <c r="E125" s="13"/>
      <c r="F125" s="13"/>
      <c r="G125" s="13"/>
      <c r="H125" s="13"/>
      <c r="I125" s="13"/>
      <c r="J125" s="24" t="s">
        <v>153</v>
      </c>
      <c r="K125" s="19" t="s">
        <v>626</v>
      </c>
      <c r="L125" s="19" t="s">
        <v>627</v>
      </c>
      <c r="M125" s="14" t="s">
        <v>52</v>
      </c>
      <c r="N125" s="15" t="s">
        <v>628</v>
      </c>
      <c r="O125" s="75" t="s">
        <v>439</v>
      </c>
      <c r="P125" s="75" t="s">
        <v>440</v>
      </c>
      <c r="Q125" s="14"/>
      <c r="R125" s="14"/>
      <c r="S125" s="15"/>
    </row>
    <row r="126" ht="24" spans="1:19">
      <c r="A126" s="51" t="s">
        <v>217</v>
      </c>
      <c r="B126" s="51" t="s">
        <v>21</v>
      </c>
      <c r="C126" s="51" t="s">
        <v>218</v>
      </c>
      <c r="D126" s="51" t="s">
        <v>219</v>
      </c>
      <c r="E126" s="51" t="s">
        <v>220</v>
      </c>
      <c r="F126" s="51">
        <v>8</v>
      </c>
      <c r="G126" s="24">
        <v>2024.7</v>
      </c>
      <c r="H126" s="24">
        <v>31</v>
      </c>
      <c r="I126" s="24">
        <v>8</v>
      </c>
      <c r="J126" s="24" t="s">
        <v>25</v>
      </c>
      <c r="K126" s="19" t="s">
        <v>629</v>
      </c>
      <c r="L126" s="19" t="s">
        <v>630</v>
      </c>
      <c r="M126" s="14" t="s">
        <v>52</v>
      </c>
      <c r="N126" s="14" t="s">
        <v>602</v>
      </c>
      <c r="O126" s="75" t="s">
        <v>439</v>
      </c>
      <c r="P126" s="75" t="s">
        <v>440</v>
      </c>
      <c r="Q126" s="14"/>
      <c r="R126" s="14"/>
      <c r="S126" s="15"/>
    </row>
    <row r="127" ht="24" spans="1:19">
      <c r="A127" s="51" t="s">
        <v>217</v>
      </c>
      <c r="B127" s="51" t="s">
        <v>21</v>
      </c>
      <c r="C127" s="51" t="s">
        <v>218</v>
      </c>
      <c r="D127" s="51" t="s">
        <v>219</v>
      </c>
      <c r="E127" s="51" t="s">
        <v>220</v>
      </c>
      <c r="F127" s="51">
        <v>8</v>
      </c>
      <c r="G127" s="24">
        <v>2024.7</v>
      </c>
      <c r="H127" s="24">
        <v>31</v>
      </c>
      <c r="I127" s="24">
        <v>8</v>
      </c>
      <c r="J127" s="24" t="s">
        <v>25</v>
      </c>
      <c r="K127" s="19" t="s">
        <v>631</v>
      </c>
      <c r="L127" s="19" t="s">
        <v>632</v>
      </c>
      <c r="M127" s="14" t="s">
        <v>52</v>
      </c>
      <c r="N127" s="14" t="s">
        <v>602</v>
      </c>
      <c r="O127" s="75" t="s">
        <v>439</v>
      </c>
      <c r="P127" s="75" t="s">
        <v>440</v>
      </c>
      <c r="Q127" s="14"/>
      <c r="R127" s="14"/>
      <c r="S127" s="15"/>
    </row>
    <row r="128" ht="24" spans="1:19">
      <c r="A128" s="51" t="s">
        <v>217</v>
      </c>
      <c r="B128" s="51" t="s">
        <v>21</v>
      </c>
      <c r="C128" s="51" t="s">
        <v>218</v>
      </c>
      <c r="D128" s="51" t="s">
        <v>219</v>
      </c>
      <c r="E128" s="51" t="s">
        <v>220</v>
      </c>
      <c r="F128" s="51">
        <v>8</v>
      </c>
      <c r="G128" s="24">
        <v>2024.7</v>
      </c>
      <c r="H128" s="24">
        <v>31</v>
      </c>
      <c r="I128" s="24">
        <v>8</v>
      </c>
      <c r="J128" s="24" t="s">
        <v>25</v>
      </c>
      <c r="K128" s="19" t="s">
        <v>633</v>
      </c>
      <c r="L128" s="19" t="s">
        <v>634</v>
      </c>
      <c r="M128" s="14" t="s">
        <v>52</v>
      </c>
      <c r="N128" s="14" t="s">
        <v>602</v>
      </c>
      <c r="O128" s="75" t="s">
        <v>439</v>
      </c>
      <c r="P128" s="75" t="s">
        <v>440</v>
      </c>
      <c r="Q128" s="14"/>
      <c r="R128" s="14"/>
      <c r="S128" s="15"/>
    </row>
    <row r="129" ht="48" spans="1:19">
      <c r="A129" s="51" t="s">
        <v>217</v>
      </c>
      <c r="B129" s="51" t="s">
        <v>21</v>
      </c>
      <c r="C129" s="51" t="s">
        <v>218</v>
      </c>
      <c r="D129" s="51" t="s">
        <v>219</v>
      </c>
      <c r="E129" s="51" t="s">
        <v>220</v>
      </c>
      <c r="F129" s="51">
        <v>8</v>
      </c>
      <c r="G129" s="24">
        <v>2024.7</v>
      </c>
      <c r="H129" s="24">
        <v>31</v>
      </c>
      <c r="I129" s="24">
        <v>8</v>
      </c>
      <c r="J129" s="24" t="s">
        <v>25</v>
      </c>
      <c r="K129" s="19" t="s">
        <v>635</v>
      </c>
      <c r="L129" s="19" t="s">
        <v>636</v>
      </c>
      <c r="M129" s="14" t="s">
        <v>52</v>
      </c>
      <c r="N129" s="14" t="s">
        <v>602</v>
      </c>
      <c r="O129" s="75" t="s">
        <v>439</v>
      </c>
      <c r="P129" s="75" t="s">
        <v>440</v>
      </c>
      <c r="Q129" s="14"/>
      <c r="R129" s="14"/>
      <c r="S129" s="15"/>
    </row>
    <row r="130" ht="24" spans="1:19">
      <c r="A130" s="51" t="s">
        <v>217</v>
      </c>
      <c r="B130" s="51" t="s">
        <v>21</v>
      </c>
      <c r="C130" s="51" t="s">
        <v>218</v>
      </c>
      <c r="D130" s="51" t="s">
        <v>219</v>
      </c>
      <c r="E130" s="51" t="s">
        <v>220</v>
      </c>
      <c r="F130" s="51">
        <v>8</v>
      </c>
      <c r="G130" s="24">
        <v>2024.7</v>
      </c>
      <c r="H130" s="24">
        <v>31</v>
      </c>
      <c r="I130" s="24">
        <v>8</v>
      </c>
      <c r="J130" s="24" t="s">
        <v>25</v>
      </c>
      <c r="K130" s="19" t="s">
        <v>637</v>
      </c>
      <c r="L130" s="19" t="s">
        <v>638</v>
      </c>
      <c r="M130" s="14" t="s">
        <v>52</v>
      </c>
      <c r="N130" s="14" t="s">
        <v>602</v>
      </c>
      <c r="O130" s="75" t="s">
        <v>439</v>
      </c>
      <c r="P130" s="75" t="s">
        <v>440</v>
      </c>
      <c r="Q130" s="14"/>
      <c r="R130" s="14"/>
      <c r="S130" s="15"/>
    </row>
    <row r="131" ht="24" spans="1:19">
      <c r="A131" s="24" t="s">
        <v>223</v>
      </c>
      <c r="B131" s="51" t="s">
        <v>21</v>
      </c>
      <c r="C131" s="51" t="s">
        <v>473</v>
      </c>
      <c r="D131" s="51" t="s">
        <v>474</v>
      </c>
      <c r="E131" s="51" t="s">
        <v>475</v>
      </c>
      <c r="F131" s="51">
        <v>3</v>
      </c>
      <c r="G131" s="24">
        <v>2025.4</v>
      </c>
      <c r="H131" s="24">
        <v>27</v>
      </c>
      <c r="I131" s="24">
        <v>3</v>
      </c>
      <c r="J131" s="13" t="s">
        <v>153</v>
      </c>
      <c r="K131" s="19" t="s">
        <v>470</v>
      </c>
      <c r="L131" s="19" t="s">
        <v>639</v>
      </c>
      <c r="M131" s="15" t="s">
        <v>52</v>
      </c>
      <c r="N131" s="15" t="s">
        <v>616</v>
      </c>
      <c r="O131" s="13" t="s">
        <v>439</v>
      </c>
      <c r="P131" s="13" t="s">
        <v>440</v>
      </c>
      <c r="Q131" s="14"/>
      <c r="R131" s="14"/>
      <c r="S131" s="15"/>
    </row>
    <row r="132" ht="48" spans="1:19">
      <c r="A132" s="24" t="s">
        <v>223</v>
      </c>
      <c r="B132" s="51" t="s">
        <v>21</v>
      </c>
      <c r="C132" s="51" t="s">
        <v>473</v>
      </c>
      <c r="D132" s="51" t="s">
        <v>474</v>
      </c>
      <c r="E132" s="51" t="s">
        <v>475</v>
      </c>
      <c r="F132" s="51">
        <v>3</v>
      </c>
      <c r="G132" s="24">
        <v>2025.4</v>
      </c>
      <c r="H132" s="24">
        <v>27</v>
      </c>
      <c r="I132" s="24">
        <v>3</v>
      </c>
      <c r="J132" s="13" t="s">
        <v>153</v>
      </c>
      <c r="K132" s="19" t="s">
        <v>470</v>
      </c>
      <c r="L132" s="19" t="s">
        <v>640</v>
      </c>
      <c r="M132" s="15" t="s">
        <v>52</v>
      </c>
      <c r="N132" s="15" t="s">
        <v>616</v>
      </c>
      <c r="O132" s="13" t="s">
        <v>439</v>
      </c>
      <c r="P132" s="13" t="s">
        <v>440</v>
      </c>
      <c r="Q132" s="14"/>
      <c r="R132" s="14"/>
      <c r="S132" s="15"/>
    </row>
    <row r="133" ht="48" spans="1:19">
      <c r="A133" s="24" t="s">
        <v>223</v>
      </c>
      <c r="B133" s="51" t="s">
        <v>21</v>
      </c>
      <c r="C133" s="51" t="s">
        <v>473</v>
      </c>
      <c r="D133" s="51" t="s">
        <v>474</v>
      </c>
      <c r="E133" s="51" t="s">
        <v>475</v>
      </c>
      <c r="F133" s="51">
        <v>3</v>
      </c>
      <c r="G133" s="24">
        <v>2025.4</v>
      </c>
      <c r="H133" s="24">
        <v>27</v>
      </c>
      <c r="I133" s="24">
        <v>3</v>
      </c>
      <c r="J133" s="13" t="s">
        <v>153</v>
      </c>
      <c r="K133" s="19" t="s">
        <v>470</v>
      </c>
      <c r="L133" s="19" t="s">
        <v>641</v>
      </c>
      <c r="M133" s="15" t="s">
        <v>52</v>
      </c>
      <c r="N133" s="15" t="s">
        <v>616</v>
      </c>
      <c r="O133" s="13" t="s">
        <v>439</v>
      </c>
      <c r="P133" s="13" t="s">
        <v>440</v>
      </c>
      <c r="Q133" s="14"/>
      <c r="R133" s="14"/>
      <c r="S133" s="15"/>
    </row>
    <row r="134" ht="36" spans="1:19">
      <c r="A134" s="24" t="s">
        <v>223</v>
      </c>
      <c r="B134" s="51" t="s">
        <v>21</v>
      </c>
      <c r="C134" s="51" t="s">
        <v>473</v>
      </c>
      <c r="D134" s="51" t="s">
        <v>474</v>
      </c>
      <c r="E134" s="51" t="s">
        <v>475</v>
      </c>
      <c r="F134" s="51">
        <v>3</v>
      </c>
      <c r="G134" s="24">
        <v>2025.4</v>
      </c>
      <c r="H134" s="24">
        <v>27</v>
      </c>
      <c r="I134" s="24">
        <v>3</v>
      </c>
      <c r="J134" s="13" t="s">
        <v>153</v>
      </c>
      <c r="K134" s="19" t="s">
        <v>470</v>
      </c>
      <c r="L134" s="19" t="s">
        <v>642</v>
      </c>
      <c r="M134" s="15" t="s">
        <v>52</v>
      </c>
      <c r="N134" s="15" t="s">
        <v>616</v>
      </c>
      <c r="O134" s="13" t="s">
        <v>439</v>
      </c>
      <c r="P134" s="13" t="s">
        <v>440</v>
      </c>
      <c r="Q134" s="14"/>
      <c r="R134" s="14"/>
      <c r="S134" s="15"/>
    </row>
    <row r="135" spans="1:19">
      <c r="A135" s="24" t="s">
        <v>254</v>
      </c>
      <c r="B135" s="51" t="s">
        <v>21</v>
      </c>
      <c r="C135" s="51" t="s">
        <v>281</v>
      </c>
      <c r="D135" s="51" t="s">
        <v>282</v>
      </c>
      <c r="E135" s="51" t="s">
        <v>283</v>
      </c>
      <c r="F135" s="51">
        <v>6</v>
      </c>
      <c r="G135" s="24">
        <v>2025.4</v>
      </c>
      <c r="H135" s="24">
        <v>22</v>
      </c>
      <c r="I135" s="24">
        <v>6</v>
      </c>
      <c r="J135" s="24" t="s">
        <v>25</v>
      </c>
      <c r="K135" s="19" t="s">
        <v>643</v>
      </c>
      <c r="L135" s="19" t="s">
        <v>644</v>
      </c>
      <c r="M135" s="15" t="s">
        <v>52</v>
      </c>
      <c r="N135" s="14" t="s">
        <v>602</v>
      </c>
      <c r="O135" s="13" t="s">
        <v>439</v>
      </c>
      <c r="P135" s="13" t="s">
        <v>440</v>
      </c>
      <c r="Q135" s="14"/>
      <c r="R135" s="14"/>
      <c r="S135" s="15"/>
    </row>
    <row r="136" spans="1:19">
      <c r="A136" s="24" t="s">
        <v>313</v>
      </c>
      <c r="B136" s="24" t="s">
        <v>21</v>
      </c>
      <c r="C136" s="24" t="s">
        <v>645</v>
      </c>
      <c r="D136" s="24" t="s">
        <v>646</v>
      </c>
      <c r="E136" s="24" t="s">
        <v>647</v>
      </c>
      <c r="F136" s="24">
        <v>4</v>
      </c>
      <c r="G136" s="24" t="s">
        <v>648</v>
      </c>
      <c r="H136" s="24">
        <v>7</v>
      </c>
      <c r="I136" s="24">
        <v>2</v>
      </c>
      <c r="J136" s="13" t="s">
        <v>25</v>
      </c>
      <c r="K136" s="19" t="s">
        <v>649</v>
      </c>
      <c r="L136" s="19" t="s">
        <v>650</v>
      </c>
      <c r="M136" s="15" t="s">
        <v>52</v>
      </c>
      <c r="N136" s="15" t="s">
        <v>187</v>
      </c>
      <c r="O136" s="13" t="s">
        <v>439</v>
      </c>
      <c r="P136" s="13" t="s">
        <v>440</v>
      </c>
      <c r="Q136" s="14"/>
      <c r="R136" s="14"/>
      <c r="S136" s="15"/>
    </row>
    <row r="137" ht="36" spans="1:19">
      <c r="A137" s="24" t="s">
        <v>335</v>
      </c>
      <c r="B137" s="24" t="s">
        <v>21</v>
      </c>
      <c r="C137" s="24" t="s">
        <v>270</v>
      </c>
      <c r="D137" s="24" t="s">
        <v>547</v>
      </c>
      <c r="E137" s="24" t="s">
        <v>548</v>
      </c>
      <c r="F137" s="24">
        <v>8</v>
      </c>
      <c r="G137" s="24">
        <v>2024.11</v>
      </c>
      <c r="H137" s="24">
        <v>27</v>
      </c>
      <c r="I137" s="24">
        <v>8</v>
      </c>
      <c r="J137" s="24" t="s">
        <v>153</v>
      </c>
      <c r="K137" s="19" t="s">
        <v>651</v>
      </c>
      <c r="L137" s="19" t="s">
        <v>652</v>
      </c>
      <c r="M137" s="15" t="s">
        <v>52</v>
      </c>
      <c r="N137" s="15" t="s">
        <v>653</v>
      </c>
      <c r="O137" s="24" t="s">
        <v>439</v>
      </c>
      <c r="P137" s="24" t="s">
        <v>440</v>
      </c>
      <c r="Q137" s="24"/>
      <c r="R137" s="24"/>
      <c r="S137" s="24"/>
    </row>
    <row r="138" ht="36" spans="1:19">
      <c r="A138" s="24" t="s">
        <v>335</v>
      </c>
      <c r="B138" s="24" t="s">
        <v>21</v>
      </c>
      <c r="C138" s="24" t="s">
        <v>270</v>
      </c>
      <c r="D138" s="24" t="s">
        <v>547</v>
      </c>
      <c r="E138" s="24" t="s">
        <v>548</v>
      </c>
      <c r="F138" s="24">
        <v>8</v>
      </c>
      <c r="G138" s="24">
        <v>2024.11</v>
      </c>
      <c r="H138" s="24">
        <v>27</v>
      </c>
      <c r="I138" s="24">
        <v>8</v>
      </c>
      <c r="J138" s="24" t="s">
        <v>153</v>
      </c>
      <c r="K138" s="19" t="s">
        <v>654</v>
      </c>
      <c r="L138" s="19" t="s">
        <v>655</v>
      </c>
      <c r="M138" s="15" t="s">
        <v>52</v>
      </c>
      <c r="N138" s="15" t="s">
        <v>653</v>
      </c>
      <c r="O138" s="24" t="s">
        <v>439</v>
      </c>
      <c r="P138" s="24" t="s">
        <v>440</v>
      </c>
      <c r="Q138" s="24"/>
      <c r="R138" s="24"/>
      <c r="S138" s="24"/>
    </row>
    <row r="139" ht="36" spans="1:19">
      <c r="A139" s="24" t="s">
        <v>335</v>
      </c>
      <c r="B139" s="24" t="s">
        <v>21</v>
      </c>
      <c r="C139" s="24" t="s">
        <v>270</v>
      </c>
      <c r="D139" s="24" t="s">
        <v>547</v>
      </c>
      <c r="E139" s="24" t="s">
        <v>548</v>
      </c>
      <c r="F139" s="24">
        <v>8</v>
      </c>
      <c r="G139" s="24">
        <v>2024.11</v>
      </c>
      <c r="H139" s="24">
        <v>27</v>
      </c>
      <c r="I139" s="24">
        <v>8</v>
      </c>
      <c r="J139" s="24" t="s">
        <v>153</v>
      </c>
      <c r="K139" s="19" t="s">
        <v>656</v>
      </c>
      <c r="L139" s="19" t="s">
        <v>657</v>
      </c>
      <c r="M139" s="15" t="s">
        <v>52</v>
      </c>
      <c r="N139" s="15" t="s">
        <v>653</v>
      </c>
      <c r="O139" s="24" t="s">
        <v>439</v>
      </c>
      <c r="P139" s="24" t="s">
        <v>440</v>
      </c>
      <c r="Q139" s="24"/>
      <c r="R139" s="24"/>
      <c r="S139" s="24"/>
    </row>
    <row r="140" ht="24" spans="1:19">
      <c r="A140" s="24" t="s">
        <v>62</v>
      </c>
      <c r="B140" s="24" t="s">
        <v>63</v>
      </c>
      <c r="C140" s="24" t="s">
        <v>64</v>
      </c>
      <c r="D140" s="15" t="s">
        <v>658</v>
      </c>
      <c r="E140" s="15" t="s">
        <v>659</v>
      </c>
      <c r="F140" s="14">
        <v>1</v>
      </c>
      <c r="G140" s="14">
        <v>2025.3</v>
      </c>
      <c r="H140" s="15">
        <v>28</v>
      </c>
      <c r="I140" s="14">
        <v>1</v>
      </c>
      <c r="J140" s="24" t="s">
        <v>488</v>
      </c>
      <c r="K140" s="19" t="s">
        <v>660</v>
      </c>
      <c r="L140" s="19" t="s">
        <v>661</v>
      </c>
      <c r="M140" s="15" t="s">
        <v>52</v>
      </c>
      <c r="N140" s="15" t="s">
        <v>613</v>
      </c>
      <c r="O140" s="30" t="s">
        <v>662</v>
      </c>
      <c r="P140" s="30" t="s">
        <v>507</v>
      </c>
      <c r="Q140" s="30"/>
      <c r="R140" s="30"/>
      <c r="S140" s="30"/>
    </row>
    <row r="141" ht="36" spans="1:19">
      <c r="A141" s="24" t="s">
        <v>62</v>
      </c>
      <c r="B141" s="24" t="s">
        <v>63</v>
      </c>
      <c r="C141" s="24" t="s">
        <v>64</v>
      </c>
      <c r="D141" s="24" t="s">
        <v>663</v>
      </c>
      <c r="E141" s="24" t="s">
        <v>664</v>
      </c>
      <c r="F141" s="24">
        <v>1</v>
      </c>
      <c r="G141" s="24">
        <v>2025.4</v>
      </c>
      <c r="H141" s="24">
        <v>14</v>
      </c>
      <c r="I141" s="24">
        <v>1</v>
      </c>
      <c r="J141" s="24" t="s">
        <v>488</v>
      </c>
      <c r="K141" s="19" t="s">
        <v>665</v>
      </c>
      <c r="L141" s="19" t="s">
        <v>666</v>
      </c>
      <c r="M141" s="15" t="s">
        <v>52</v>
      </c>
      <c r="N141" s="15" t="s">
        <v>613</v>
      </c>
      <c r="O141" s="75" t="s">
        <v>667</v>
      </c>
      <c r="P141" s="75" t="s">
        <v>510</v>
      </c>
      <c r="Q141" s="30"/>
      <c r="R141" s="30"/>
      <c r="S141" s="30"/>
    </row>
    <row r="142" ht="60" spans="1:19">
      <c r="A142" s="24" t="s">
        <v>62</v>
      </c>
      <c r="B142" s="24" t="s">
        <v>63</v>
      </c>
      <c r="C142" s="24" t="s">
        <v>64</v>
      </c>
      <c r="D142" s="24" t="s">
        <v>663</v>
      </c>
      <c r="E142" s="24" t="s">
        <v>664</v>
      </c>
      <c r="F142" s="24">
        <v>1</v>
      </c>
      <c r="G142" s="24">
        <v>2025.4</v>
      </c>
      <c r="H142" s="24">
        <v>14</v>
      </c>
      <c r="I142" s="24">
        <v>1</v>
      </c>
      <c r="J142" s="24" t="s">
        <v>488</v>
      </c>
      <c r="K142" s="19" t="s">
        <v>668</v>
      </c>
      <c r="L142" s="19" t="s">
        <v>669</v>
      </c>
      <c r="M142" s="15" t="s">
        <v>52</v>
      </c>
      <c r="N142" s="15" t="s">
        <v>613</v>
      </c>
      <c r="O142" s="75" t="s">
        <v>667</v>
      </c>
      <c r="P142" s="75" t="s">
        <v>510</v>
      </c>
      <c r="Q142" s="30"/>
      <c r="R142" s="30"/>
      <c r="S142" s="30"/>
    </row>
    <row r="143" ht="24" spans="1:19">
      <c r="A143" s="24" t="s">
        <v>62</v>
      </c>
      <c r="B143" s="24" t="s">
        <v>63</v>
      </c>
      <c r="C143" s="24" t="s">
        <v>64</v>
      </c>
      <c r="D143" s="24" t="s">
        <v>670</v>
      </c>
      <c r="E143" s="24" t="s">
        <v>671</v>
      </c>
      <c r="F143" s="24">
        <v>1</v>
      </c>
      <c r="G143" s="24">
        <v>2025.6</v>
      </c>
      <c r="H143" s="24">
        <v>21</v>
      </c>
      <c r="I143" s="24">
        <v>1</v>
      </c>
      <c r="J143" s="24" t="s">
        <v>488</v>
      </c>
      <c r="K143" s="19" t="s">
        <v>672</v>
      </c>
      <c r="L143" s="19" t="s">
        <v>673</v>
      </c>
      <c r="M143" s="15" t="s">
        <v>52</v>
      </c>
      <c r="N143" s="15" t="s">
        <v>613</v>
      </c>
      <c r="O143" s="75" t="s">
        <v>674</v>
      </c>
      <c r="P143" s="75" t="s">
        <v>571</v>
      </c>
      <c r="Q143" s="30"/>
      <c r="R143" s="30"/>
      <c r="S143" s="30"/>
    </row>
    <row r="144" ht="48" spans="1:19">
      <c r="A144" s="15"/>
      <c r="B144" s="15"/>
      <c r="C144" s="15"/>
      <c r="D144" s="24" t="s">
        <v>670</v>
      </c>
      <c r="E144" s="24" t="s">
        <v>671</v>
      </c>
      <c r="F144" s="24">
        <v>1</v>
      </c>
      <c r="G144" s="24">
        <v>2025.6</v>
      </c>
      <c r="H144" s="24">
        <v>21</v>
      </c>
      <c r="I144" s="24">
        <v>1</v>
      </c>
      <c r="J144" s="24" t="s">
        <v>488</v>
      </c>
      <c r="K144" s="19" t="s">
        <v>675</v>
      </c>
      <c r="L144" s="19" t="s">
        <v>676</v>
      </c>
      <c r="M144" s="15" t="s">
        <v>52</v>
      </c>
      <c r="N144" s="15" t="s">
        <v>613</v>
      </c>
      <c r="O144" s="75" t="s">
        <v>674</v>
      </c>
      <c r="P144" s="75" t="s">
        <v>571</v>
      </c>
      <c r="Q144" s="30"/>
      <c r="R144" s="30"/>
      <c r="S144" s="30"/>
    </row>
    <row r="145" spans="1:19">
      <c r="A145" s="13" t="s">
        <v>149</v>
      </c>
      <c r="B145" s="13" t="s">
        <v>21</v>
      </c>
      <c r="C145" s="13" t="s">
        <v>441</v>
      </c>
      <c r="D145" s="13" t="s">
        <v>172</v>
      </c>
      <c r="E145" s="13" t="s">
        <v>445</v>
      </c>
      <c r="F145" s="13">
        <v>3</v>
      </c>
      <c r="G145" s="13">
        <v>2025.3</v>
      </c>
      <c r="H145" s="13">
        <v>6</v>
      </c>
      <c r="I145" s="13">
        <v>3</v>
      </c>
      <c r="J145" s="24" t="s">
        <v>153</v>
      </c>
      <c r="K145" s="19" t="s">
        <v>677</v>
      </c>
      <c r="L145" s="19" t="s">
        <v>678</v>
      </c>
      <c r="M145" s="14" t="s">
        <v>52</v>
      </c>
      <c r="N145" s="30" t="s">
        <v>679</v>
      </c>
      <c r="O145" s="75" t="s">
        <v>563</v>
      </c>
      <c r="P145" s="75" t="s">
        <v>507</v>
      </c>
      <c r="Q145" s="30"/>
      <c r="R145" s="30"/>
      <c r="S145" s="30"/>
    </row>
    <row r="146" spans="1:19">
      <c r="A146" s="13" t="s">
        <v>149</v>
      </c>
      <c r="B146" s="13" t="s">
        <v>21</v>
      </c>
      <c r="C146" s="13" t="s">
        <v>492</v>
      </c>
      <c r="D146" s="13" t="s">
        <v>493</v>
      </c>
      <c r="E146" s="13" t="s">
        <v>494</v>
      </c>
      <c r="F146" s="13">
        <v>20</v>
      </c>
      <c r="G146" s="13">
        <v>2024.11</v>
      </c>
      <c r="H146" s="13">
        <v>22</v>
      </c>
      <c r="I146" s="13">
        <v>20</v>
      </c>
      <c r="J146" s="24" t="s">
        <v>153</v>
      </c>
      <c r="K146" s="19" t="s">
        <v>680</v>
      </c>
      <c r="L146" s="19" t="s">
        <v>681</v>
      </c>
      <c r="M146" s="14" t="s">
        <v>52</v>
      </c>
      <c r="N146" s="79" t="s">
        <v>682</v>
      </c>
      <c r="O146" s="75" t="s">
        <v>498</v>
      </c>
      <c r="P146" s="75" t="s">
        <v>499</v>
      </c>
      <c r="Q146" s="30"/>
      <c r="R146" s="30"/>
      <c r="S146" s="30"/>
    </row>
    <row r="147" spans="1:19">
      <c r="A147" s="24" t="s">
        <v>254</v>
      </c>
      <c r="B147" s="24" t="s">
        <v>21</v>
      </c>
      <c r="C147" s="24" t="s">
        <v>281</v>
      </c>
      <c r="D147" s="24" t="s">
        <v>282</v>
      </c>
      <c r="E147" s="24" t="s">
        <v>283</v>
      </c>
      <c r="F147" s="24">
        <v>7</v>
      </c>
      <c r="G147" s="24">
        <v>2025.4</v>
      </c>
      <c r="H147" s="24">
        <v>22</v>
      </c>
      <c r="I147" s="24">
        <v>7</v>
      </c>
      <c r="J147" s="24" t="s">
        <v>25</v>
      </c>
      <c r="K147" s="19" t="s">
        <v>279</v>
      </c>
      <c r="L147" s="19" t="s">
        <v>280</v>
      </c>
      <c r="M147" s="14" t="s">
        <v>52</v>
      </c>
      <c r="N147" s="79" t="s">
        <v>53</v>
      </c>
      <c r="O147" s="13" t="s">
        <v>506</v>
      </c>
      <c r="P147" s="13" t="s">
        <v>510</v>
      </c>
      <c r="Q147" s="14"/>
      <c r="R147" s="14"/>
      <c r="S147" s="15"/>
    </row>
    <row r="148" spans="1:19">
      <c r="A148" s="24" t="s">
        <v>254</v>
      </c>
      <c r="B148" s="24" t="s">
        <v>21</v>
      </c>
      <c r="C148" s="24" t="s">
        <v>281</v>
      </c>
      <c r="D148" s="24" t="s">
        <v>282</v>
      </c>
      <c r="E148" s="24" t="s">
        <v>283</v>
      </c>
      <c r="F148" s="24">
        <v>7</v>
      </c>
      <c r="G148" s="24">
        <v>2025.4</v>
      </c>
      <c r="H148" s="24">
        <v>22</v>
      </c>
      <c r="I148" s="24">
        <v>7</v>
      </c>
      <c r="J148" s="24" t="s">
        <v>25</v>
      </c>
      <c r="K148" s="19" t="s">
        <v>286</v>
      </c>
      <c r="L148" s="19" t="s">
        <v>287</v>
      </c>
      <c r="M148" s="14" t="s">
        <v>52</v>
      </c>
      <c r="N148" s="79" t="s">
        <v>269</v>
      </c>
      <c r="O148" s="13" t="s">
        <v>506</v>
      </c>
      <c r="P148" s="13" t="s">
        <v>510</v>
      </c>
      <c r="Q148" s="14"/>
      <c r="R148" s="14"/>
      <c r="S148" s="15"/>
    </row>
    <row r="149" spans="1:19">
      <c r="A149" s="24" t="s">
        <v>254</v>
      </c>
      <c r="B149" s="24" t="s">
        <v>21</v>
      </c>
      <c r="C149" s="24" t="s">
        <v>281</v>
      </c>
      <c r="D149" s="24" t="s">
        <v>282</v>
      </c>
      <c r="E149" s="24" t="s">
        <v>283</v>
      </c>
      <c r="F149" s="24">
        <v>7</v>
      </c>
      <c r="G149" s="24">
        <v>2025.4</v>
      </c>
      <c r="H149" s="24">
        <v>22</v>
      </c>
      <c r="I149" s="24">
        <v>7</v>
      </c>
      <c r="J149" s="24" t="s">
        <v>25</v>
      </c>
      <c r="K149" s="19" t="s">
        <v>683</v>
      </c>
      <c r="L149" s="19" t="s">
        <v>684</v>
      </c>
      <c r="M149" s="14" t="s">
        <v>52</v>
      </c>
      <c r="N149" s="79" t="s">
        <v>53</v>
      </c>
      <c r="O149" s="13" t="s">
        <v>506</v>
      </c>
      <c r="P149" s="13" t="s">
        <v>510</v>
      </c>
      <c r="Q149" s="14"/>
      <c r="R149" s="14"/>
      <c r="S149" s="15"/>
    </row>
    <row r="150" spans="1:19">
      <c r="A150" s="13" t="s">
        <v>476</v>
      </c>
      <c r="B150" s="13" t="s">
        <v>21</v>
      </c>
      <c r="C150" s="13" t="s">
        <v>367</v>
      </c>
      <c r="D150" s="13" t="s">
        <v>368</v>
      </c>
      <c r="E150" s="13" t="s">
        <v>369</v>
      </c>
      <c r="F150" s="13">
        <v>11</v>
      </c>
      <c r="G150" s="13">
        <v>2025.2</v>
      </c>
      <c r="H150" s="13">
        <v>22</v>
      </c>
      <c r="I150" s="13">
        <v>11</v>
      </c>
      <c r="J150" s="13" t="s">
        <v>590</v>
      </c>
      <c r="K150" s="15" t="s">
        <v>685</v>
      </c>
      <c r="L150" s="19" t="s">
        <v>686</v>
      </c>
      <c r="M150" s="15" t="s">
        <v>52</v>
      </c>
      <c r="N150" s="15" t="s">
        <v>687</v>
      </c>
      <c r="O150" s="13" t="s">
        <v>506</v>
      </c>
      <c r="P150" s="13" t="s">
        <v>507</v>
      </c>
      <c r="Q150" s="14"/>
      <c r="R150" s="14"/>
      <c r="S150" s="15"/>
    </row>
  </sheetData>
  <autoFilter xmlns:etc="http://www.wps.cn/officeDocument/2017/etCustomData" ref="A2:S150" etc:filterBottomFollowUsedRange="0">
    <filterColumn colId="12">
      <filters>
        <filter val="电气"/>
        <filter val="生产、采购、电气"/>
        <filter val="测试、电气"/>
        <filter val="生产、采购、测试、电气"/>
        <filter val="上位机，电气，"/>
      </filters>
    </filterColumn>
    <extLst/>
  </autoFilter>
  <mergeCells count="25">
    <mergeCell ref="A1:S1"/>
    <mergeCell ref="B62:B63"/>
    <mergeCell ref="B96:B97"/>
    <mergeCell ref="C62:C63"/>
    <mergeCell ref="C96:C97"/>
    <mergeCell ref="D16:D17"/>
    <mergeCell ref="D62:D63"/>
    <mergeCell ref="D96:D97"/>
    <mergeCell ref="E16:E17"/>
    <mergeCell ref="E62:E63"/>
    <mergeCell ref="E96:E97"/>
    <mergeCell ref="F16:F17"/>
    <mergeCell ref="F62:F63"/>
    <mergeCell ref="F96:F97"/>
    <mergeCell ref="G16:G17"/>
    <mergeCell ref="G62:G63"/>
    <mergeCell ref="G96:G97"/>
    <mergeCell ref="H16:H17"/>
    <mergeCell ref="H62:H63"/>
    <mergeCell ref="H96:H97"/>
    <mergeCell ref="I16:I17"/>
    <mergeCell ref="I62:I63"/>
    <mergeCell ref="I96:I97"/>
    <mergeCell ref="O96:O97"/>
    <mergeCell ref="P96:P97"/>
  </mergeCells>
  <conditionalFormatting sqref="K3:K15">
    <cfRule type="expression" dxfId="1" priority="12">
      <formula>$K3="已完成"</formula>
    </cfRule>
    <cfRule type="expression" dxfId="0" priority="11">
      <formula>OR($K3="延期",AND(#REF!="严重",$K3=""))</formula>
    </cfRule>
  </conditionalFormatting>
  <conditionalFormatting sqref="K116:K117">
    <cfRule type="expression" dxfId="1" priority="8">
      <formula>$K116="已完成"</formula>
    </cfRule>
    <cfRule type="expression" dxfId="0" priority="7">
      <formula>OR($K116="延期",AND(#REF!="严重",$K116=""))</formula>
    </cfRule>
  </conditionalFormatting>
  <conditionalFormatting sqref="L3:L15">
    <cfRule type="expression" dxfId="1" priority="10">
      <formula>$K3="已完成"</formula>
    </cfRule>
    <cfRule type="expression" dxfId="0" priority="9">
      <formula>OR($K3="延期",AND(#REF!="严重",$K3=""))</formula>
    </cfRule>
  </conditionalFormatting>
  <conditionalFormatting sqref="L116:L117">
    <cfRule type="expression" dxfId="1" priority="6">
      <formula>$K116="已完成"</formula>
    </cfRule>
    <cfRule type="expression" dxfId="0" priority="5">
      <formula>OR($K116="延期",AND(#REF!="严重",$K116=""))</formula>
    </cfRule>
  </conditionalFormatting>
  <conditionalFormatting sqref="K140 K141:K145 K146">
    <cfRule type="expression" dxfId="1" priority="4">
      <formula>$K140="已完成"</formula>
    </cfRule>
    <cfRule type="expression" dxfId="0" priority="3">
      <formula>OR($K140="延期",AND(#REF!="严重",$K140=""))</formula>
    </cfRule>
  </conditionalFormatting>
  <conditionalFormatting sqref="L140 L141:L145 L146">
    <cfRule type="expression" dxfId="1" priority="2">
      <formula>$K140="已完成"</formula>
    </cfRule>
    <cfRule type="expression" dxfId="0" priority="1">
      <formula>OR($K140="延期",AND(#REF!="严重",$K140=""))</formula>
    </cfRule>
  </conditionalFormatting>
  <dataValidations count="1">
    <dataValidation allowBlank="1" showInputMessage="1" showErrorMessage="1" sqref="K3:L15 K116:L117"/>
  </dataValidation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S159"/>
  <sheetViews>
    <sheetView workbookViewId="0">
      <pane xSplit="1" ySplit="2" topLeftCell="B139" activePane="bottomRight" state="frozen"/>
      <selection/>
      <selection pane="topRight"/>
      <selection pane="bottomLeft"/>
      <selection pane="bottomRight" activeCell="D143" sqref="D143"/>
    </sheetView>
  </sheetViews>
  <sheetFormatPr defaultColWidth="11" defaultRowHeight="13.5"/>
  <cols>
    <col min="1" max="2" width="11" style="2"/>
    <col min="3" max="3" width="11" style="4"/>
    <col min="4" max="4" width="21.2166666666667" style="4" customWidth="1"/>
    <col min="5" max="5" width="14.1666666666667" style="2" customWidth="1"/>
    <col min="6" max="6" width="11" style="2"/>
    <col min="7" max="7" width="12.3583333333333" style="5" customWidth="1"/>
    <col min="8" max="8" width="11.2083333333333" style="2"/>
    <col min="9" max="10" width="11" style="2"/>
    <col min="11" max="11" width="31.6416666666667" style="4" customWidth="1"/>
    <col min="12" max="12" width="40.6416666666667" style="4" customWidth="1"/>
    <col min="13" max="14" width="9.1" style="4"/>
    <col min="15" max="15" width="15" style="2" customWidth="1"/>
    <col min="16" max="16" width="10.6416666666667" style="2" customWidth="1"/>
    <col min="17" max="18" width="9.1" style="2"/>
    <col min="19" max="19" width="17.425" style="4" customWidth="1"/>
    <col min="20" max="16384" width="11" style="2"/>
  </cols>
  <sheetData>
    <row r="1" s="1" customFormat="1" ht="31.5" spans="1:19">
      <c r="A1" s="6" t="s">
        <v>404</v>
      </c>
      <c r="B1" s="7"/>
      <c r="C1" s="8"/>
      <c r="D1" s="8"/>
      <c r="E1" s="7"/>
      <c r="F1" s="7"/>
      <c r="G1" s="9"/>
      <c r="H1" s="7"/>
      <c r="I1" s="7"/>
      <c r="J1" s="7"/>
      <c r="K1" s="7"/>
      <c r="L1" s="7"/>
      <c r="M1" s="7"/>
      <c r="N1" s="7"/>
      <c r="O1" s="7"/>
      <c r="P1" s="7"/>
      <c r="Q1" s="7"/>
      <c r="R1" s="7"/>
      <c r="S1" s="20"/>
    </row>
    <row r="2" s="1" customFormat="1" ht="42.75" spans="1:19">
      <c r="A2" s="10" t="s">
        <v>1</v>
      </c>
      <c r="B2" s="11" t="s">
        <v>2</v>
      </c>
      <c r="C2" s="11" t="s">
        <v>3</v>
      </c>
      <c r="D2" s="12" t="s">
        <v>4</v>
      </c>
      <c r="E2" s="10" t="s">
        <v>5</v>
      </c>
      <c r="F2" s="11" t="s">
        <v>6</v>
      </c>
      <c r="G2" s="12" t="s">
        <v>7</v>
      </c>
      <c r="H2" s="11" t="s">
        <v>8</v>
      </c>
      <c r="I2" s="11" t="s">
        <v>9</v>
      </c>
      <c r="J2" s="11" t="s">
        <v>10</v>
      </c>
      <c r="K2" s="18" t="s">
        <v>11</v>
      </c>
      <c r="L2" s="18" t="s">
        <v>12</v>
      </c>
      <c r="M2" s="18" t="s">
        <v>13</v>
      </c>
      <c r="N2" s="18" t="s">
        <v>14</v>
      </c>
      <c r="O2" s="18" t="s">
        <v>15</v>
      </c>
      <c r="P2" s="18" t="s">
        <v>16</v>
      </c>
      <c r="Q2" s="18" t="s">
        <v>17</v>
      </c>
      <c r="R2" s="18" t="s">
        <v>18</v>
      </c>
      <c r="S2" s="18" t="s">
        <v>19</v>
      </c>
    </row>
    <row r="3" s="81" customFormat="1" ht="27" hidden="1" spans="1:19">
      <c r="A3" s="85" t="s">
        <v>20</v>
      </c>
      <c r="B3" s="85" t="s">
        <v>21</v>
      </c>
      <c r="C3" s="85" t="s">
        <v>22</v>
      </c>
      <c r="D3" s="85" t="s">
        <v>23</v>
      </c>
      <c r="E3" s="85" t="s">
        <v>24</v>
      </c>
      <c r="F3" s="85">
        <v>77</v>
      </c>
      <c r="G3" s="85">
        <v>2024.9</v>
      </c>
      <c r="H3" s="85">
        <v>22</v>
      </c>
      <c r="I3" s="85">
        <v>77</v>
      </c>
      <c r="J3" s="85" t="s">
        <v>25</v>
      </c>
      <c r="K3" s="29" t="s">
        <v>26</v>
      </c>
      <c r="L3" s="29" t="s">
        <v>27</v>
      </c>
      <c r="M3" s="43" t="s">
        <v>28</v>
      </c>
      <c r="N3" s="100" t="s">
        <v>29</v>
      </c>
      <c r="O3" s="101" t="s">
        <v>30</v>
      </c>
      <c r="P3" s="101" t="s">
        <v>31</v>
      </c>
      <c r="Q3" s="100"/>
      <c r="R3" s="100"/>
      <c r="S3" s="100"/>
    </row>
    <row r="4" s="81" customFormat="1" ht="27" hidden="1" spans="1:19">
      <c r="A4" s="85" t="s">
        <v>20</v>
      </c>
      <c r="B4" s="85" t="s">
        <v>21</v>
      </c>
      <c r="C4" s="85" t="s">
        <v>22</v>
      </c>
      <c r="D4" s="85" t="s">
        <v>23</v>
      </c>
      <c r="E4" s="85" t="s">
        <v>24</v>
      </c>
      <c r="F4" s="85">
        <v>77</v>
      </c>
      <c r="G4" s="85">
        <v>2024.9</v>
      </c>
      <c r="H4" s="85">
        <v>22</v>
      </c>
      <c r="I4" s="85">
        <v>77</v>
      </c>
      <c r="J4" s="85" t="s">
        <v>25</v>
      </c>
      <c r="K4" s="29" t="s">
        <v>32</v>
      </c>
      <c r="L4" s="29" t="s">
        <v>33</v>
      </c>
      <c r="M4" s="43" t="s">
        <v>28</v>
      </c>
      <c r="N4" s="100" t="s">
        <v>29</v>
      </c>
      <c r="O4" s="101" t="s">
        <v>30</v>
      </c>
      <c r="P4" s="101" t="s">
        <v>31</v>
      </c>
      <c r="Q4" s="100"/>
      <c r="R4" s="100"/>
      <c r="S4" s="100"/>
    </row>
    <row r="5" s="81" customFormat="1" ht="27" hidden="1" spans="1:19">
      <c r="A5" s="85" t="s">
        <v>20</v>
      </c>
      <c r="B5" s="85" t="s">
        <v>21</v>
      </c>
      <c r="C5" s="85" t="s">
        <v>22</v>
      </c>
      <c r="D5" s="85" t="s">
        <v>23</v>
      </c>
      <c r="E5" s="85" t="s">
        <v>24</v>
      </c>
      <c r="F5" s="85">
        <v>77</v>
      </c>
      <c r="G5" s="85">
        <v>2024.9</v>
      </c>
      <c r="H5" s="85">
        <v>22</v>
      </c>
      <c r="I5" s="85">
        <v>77</v>
      </c>
      <c r="J5" s="85" t="s">
        <v>25</v>
      </c>
      <c r="K5" s="29" t="s">
        <v>34</v>
      </c>
      <c r="L5" s="29" t="s">
        <v>35</v>
      </c>
      <c r="M5" s="45" t="s">
        <v>36</v>
      </c>
      <c r="N5" s="100" t="s">
        <v>37</v>
      </c>
      <c r="O5" s="101" t="s">
        <v>30</v>
      </c>
      <c r="P5" s="101" t="s">
        <v>31</v>
      </c>
      <c r="Q5" s="100"/>
      <c r="R5" s="100"/>
      <c r="S5" s="100"/>
    </row>
    <row r="6" s="81" customFormat="1" ht="27" hidden="1" spans="1:19">
      <c r="A6" s="85" t="s">
        <v>20</v>
      </c>
      <c r="B6" s="85" t="s">
        <v>21</v>
      </c>
      <c r="C6" s="85" t="s">
        <v>22</v>
      </c>
      <c r="D6" s="85" t="s">
        <v>23</v>
      </c>
      <c r="E6" s="85" t="s">
        <v>24</v>
      </c>
      <c r="F6" s="85">
        <v>77</v>
      </c>
      <c r="G6" s="85">
        <v>2024.9</v>
      </c>
      <c r="H6" s="85">
        <v>22</v>
      </c>
      <c r="I6" s="85">
        <v>77</v>
      </c>
      <c r="J6" s="85" t="s">
        <v>25</v>
      </c>
      <c r="K6" s="29" t="s">
        <v>38</v>
      </c>
      <c r="L6" s="29" t="s">
        <v>39</v>
      </c>
      <c r="M6" s="45" t="s">
        <v>36</v>
      </c>
      <c r="N6" s="100" t="s">
        <v>37</v>
      </c>
      <c r="O6" s="101" t="s">
        <v>30</v>
      </c>
      <c r="P6" s="101" t="s">
        <v>31</v>
      </c>
      <c r="Q6" s="100"/>
      <c r="R6" s="100"/>
      <c r="S6" s="100"/>
    </row>
    <row r="7" s="81" customFormat="1" ht="27" hidden="1" spans="1:19">
      <c r="A7" s="85" t="s">
        <v>20</v>
      </c>
      <c r="B7" s="85" t="s">
        <v>21</v>
      </c>
      <c r="C7" s="85" t="s">
        <v>22</v>
      </c>
      <c r="D7" s="85" t="s">
        <v>23</v>
      </c>
      <c r="E7" s="85" t="s">
        <v>24</v>
      </c>
      <c r="F7" s="85">
        <v>77</v>
      </c>
      <c r="G7" s="85">
        <v>2024.9</v>
      </c>
      <c r="H7" s="85">
        <v>22</v>
      </c>
      <c r="I7" s="85">
        <v>77</v>
      </c>
      <c r="J7" s="85" t="s">
        <v>25</v>
      </c>
      <c r="K7" s="29" t="s">
        <v>40</v>
      </c>
      <c r="L7" s="29" t="s">
        <v>41</v>
      </c>
      <c r="M7" s="45" t="s">
        <v>36</v>
      </c>
      <c r="N7" s="100" t="s">
        <v>37</v>
      </c>
      <c r="O7" s="101" t="s">
        <v>30</v>
      </c>
      <c r="P7" s="101" t="s">
        <v>31</v>
      </c>
      <c r="Q7" s="100"/>
      <c r="R7" s="100"/>
      <c r="S7" s="100"/>
    </row>
    <row r="8" s="81" customFormat="1" ht="36" hidden="1" spans="1:19">
      <c r="A8" s="85" t="s">
        <v>20</v>
      </c>
      <c r="B8" s="85" t="s">
        <v>21</v>
      </c>
      <c r="C8" s="85" t="s">
        <v>22</v>
      </c>
      <c r="D8" s="85" t="s">
        <v>23</v>
      </c>
      <c r="E8" s="85" t="s">
        <v>24</v>
      </c>
      <c r="F8" s="85">
        <v>77</v>
      </c>
      <c r="G8" s="85">
        <v>2024.9</v>
      </c>
      <c r="H8" s="85">
        <v>22</v>
      </c>
      <c r="I8" s="85">
        <v>77</v>
      </c>
      <c r="J8" s="85" t="s">
        <v>25</v>
      </c>
      <c r="K8" s="29" t="s">
        <v>42</v>
      </c>
      <c r="L8" s="29" t="s">
        <v>43</v>
      </c>
      <c r="M8" s="45" t="s">
        <v>44</v>
      </c>
      <c r="N8" s="100" t="s">
        <v>45</v>
      </c>
      <c r="O8" s="101" t="s">
        <v>30</v>
      </c>
      <c r="P8" s="101" t="s">
        <v>31</v>
      </c>
      <c r="Q8" s="100"/>
      <c r="R8" s="100"/>
      <c r="S8" s="100"/>
    </row>
    <row r="9" s="81" customFormat="1" ht="36" hidden="1" spans="1:19">
      <c r="A9" s="85" t="s">
        <v>20</v>
      </c>
      <c r="B9" s="85" t="s">
        <v>21</v>
      </c>
      <c r="C9" s="85" t="s">
        <v>22</v>
      </c>
      <c r="D9" s="85" t="s">
        <v>23</v>
      </c>
      <c r="E9" s="85" t="s">
        <v>24</v>
      </c>
      <c r="F9" s="85">
        <v>77</v>
      </c>
      <c r="G9" s="85">
        <v>2024.9</v>
      </c>
      <c r="H9" s="85">
        <v>22</v>
      </c>
      <c r="I9" s="85">
        <v>77</v>
      </c>
      <c r="J9" s="85" t="s">
        <v>25</v>
      </c>
      <c r="K9" s="29" t="s">
        <v>46</v>
      </c>
      <c r="L9" s="29" t="s">
        <v>47</v>
      </c>
      <c r="M9" s="45" t="s">
        <v>44</v>
      </c>
      <c r="N9" s="100" t="s">
        <v>45</v>
      </c>
      <c r="O9" s="101" t="s">
        <v>30</v>
      </c>
      <c r="P9" s="101" t="s">
        <v>31</v>
      </c>
      <c r="Q9" s="100"/>
      <c r="R9" s="100"/>
      <c r="S9" s="100"/>
    </row>
    <row r="10" s="81" customFormat="1" ht="27" hidden="1" spans="1:19">
      <c r="A10" s="85" t="s">
        <v>20</v>
      </c>
      <c r="B10" s="85" t="s">
        <v>21</v>
      </c>
      <c r="C10" s="85" t="s">
        <v>22</v>
      </c>
      <c r="D10" s="85" t="s">
        <v>23</v>
      </c>
      <c r="E10" s="85" t="s">
        <v>24</v>
      </c>
      <c r="F10" s="85">
        <v>77</v>
      </c>
      <c r="G10" s="85">
        <v>2024.9</v>
      </c>
      <c r="H10" s="85">
        <v>22</v>
      </c>
      <c r="I10" s="85">
        <v>77</v>
      </c>
      <c r="J10" s="85" t="s">
        <v>25</v>
      </c>
      <c r="K10" s="29" t="s">
        <v>48</v>
      </c>
      <c r="L10" s="29" t="s">
        <v>49</v>
      </c>
      <c r="M10" s="45" t="s">
        <v>44</v>
      </c>
      <c r="N10" s="100" t="s">
        <v>45</v>
      </c>
      <c r="O10" s="101" t="s">
        <v>30</v>
      </c>
      <c r="P10" s="101" t="s">
        <v>31</v>
      </c>
      <c r="Q10" s="100"/>
      <c r="R10" s="100"/>
      <c r="S10" s="100"/>
    </row>
    <row r="11" s="81" customFormat="1" ht="27" hidden="1" spans="1:19">
      <c r="A11" s="85" t="s">
        <v>20</v>
      </c>
      <c r="B11" s="85" t="s">
        <v>21</v>
      </c>
      <c r="C11" s="85" t="s">
        <v>22</v>
      </c>
      <c r="D11" s="85" t="s">
        <v>23</v>
      </c>
      <c r="E11" s="85" t="s">
        <v>24</v>
      </c>
      <c r="F11" s="85">
        <v>77</v>
      </c>
      <c r="G11" s="85">
        <v>2024.9</v>
      </c>
      <c r="H11" s="85">
        <v>22</v>
      </c>
      <c r="I11" s="85">
        <v>77</v>
      </c>
      <c r="J11" s="85" t="s">
        <v>25</v>
      </c>
      <c r="K11" s="29" t="s">
        <v>50</v>
      </c>
      <c r="L11" s="29" t="s">
        <v>51</v>
      </c>
      <c r="M11" s="45" t="s">
        <v>52</v>
      </c>
      <c r="N11" s="100" t="s">
        <v>53</v>
      </c>
      <c r="O11" s="101" t="s">
        <v>30</v>
      </c>
      <c r="P11" s="101" t="s">
        <v>31</v>
      </c>
      <c r="Q11" s="100"/>
      <c r="R11" s="100"/>
      <c r="S11" s="100"/>
    </row>
    <row r="12" s="81" customFormat="1" ht="27" hidden="1" spans="1:19">
      <c r="A12" s="85" t="s">
        <v>20</v>
      </c>
      <c r="B12" s="85" t="s">
        <v>21</v>
      </c>
      <c r="C12" s="85" t="s">
        <v>22</v>
      </c>
      <c r="D12" s="85" t="s">
        <v>23</v>
      </c>
      <c r="E12" s="85" t="s">
        <v>24</v>
      </c>
      <c r="F12" s="85">
        <v>77</v>
      </c>
      <c r="G12" s="85">
        <v>2024.9</v>
      </c>
      <c r="H12" s="85">
        <v>22</v>
      </c>
      <c r="I12" s="85">
        <v>77</v>
      </c>
      <c r="J12" s="85" t="s">
        <v>25</v>
      </c>
      <c r="K12" s="29" t="s">
        <v>54</v>
      </c>
      <c r="L12" s="29" t="s">
        <v>55</v>
      </c>
      <c r="M12" s="45" t="s">
        <v>44</v>
      </c>
      <c r="N12" s="100" t="s">
        <v>45</v>
      </c>
      <c r="O12" s="101" t="s">
        <v>30</v>
      </c>
      <c r="P12" s="101" t="s">
        <v>31</v>
      </c>
      <c r="Q12" s="100"/>
      <c r="R12" s="100"/>
      <c r="S12" s="100"/>
    </row>
    <row r="13" s="81" customFormat="1" ht="27" hidden="1" spans="1:19">
      <c r="A13" s="85" t="s">
        <v>20</v>
      </c>
      <c r="B13" s="85" t="s">
        <v>21</v>
      </c>
      <c r="C13" s="85" t="s">
        <v>22</v>
      </c>
      <c r="D13" s="85" t="s">
        <v>23</v>
      </c>
      <c r="E13" s="85" t="s">
        <v>24</v>
      </c>
      <c r="F13" s="85">
        <v>77</v>
      </c>
      <c r="G13" s="85">
        <v>2024.9</v>
      </c>
      <c r="H13" s="85">
        <v>22</v>
      </c>
      <c r="I13" s="85">
        <v>77</v>
      </c>
      <c r="J13" s="85" t="s">
        <v>25</v>
      </c>
      <c r="K13" s="29" t="s">
        <v>56</v>
      </c>
      <c r="L13" s="29" t="s">
        <v>57</v>
      </c>
      <c r="M13" s="45" t="s">
        <v>44</v>
      </c>
      <c r="N13" s="100" t="s">
        <v>45</v>
      </c>
      <c r="O13" s="101" t="s">
        <v>30</v>
      </c>
      <c r="P13" s="101" t="s">
        <v>31</v>
      </c>
      <c r="Q13" s="100"/>
      <c r="R13" s="100"/>
      <c r="S13" s="100"/>
    </row>
    <row r="14" s="81" customFormat="1" ht="27" hidden="1" spans="1:19">
      <c r="A14" s="85" t="s">
        <v>20</v>
      </c>
      <c r="B14" s="85" t="s">
        <v>21</v>
      </c>
      <c r="C14" s="85" t="s">
        <v>22</v>
      </c>
      <c r="D14" s="85" t="s">
        <v>23</v>
      </c>
      <c r="E14" s="85" t="s">
        <v>24</v>
      </c>
      <c r="F14" s="85">
        <v>77</v>
      </c>
      <c r="G14" s="85">
        <v>2024.9</v>
      </c>
      <c r="H14" s="85">
        <v>22</v>
      </c>
      <c r="I14" s="85">
        <v>77</v>
      </c>
      <c r="J14" s="85" t="s">
        <v>25</v>
      </c>
      <c r="K14" s="29" t="s">
        <v>58</v>
      </c>
      <c r="L14" s="29" t="s">
        <v>59</v>
      </c>
      <c r="M14" s="45" t="s">
        <v>44</v>
      </c>
      <c r="N14" s="100" t="s">
        <v>45</v>
      </c>
      <c r="O14" s="101" t="s">
        <v>30</v>
      </c>
      <c r="P14" s="101" t="s">
        <v>31</v>
      </c>
      <c r="Q14" s="100"/>
      <c r="R14" s="100"/>
      <c r="S14" s="100"/>
    </row>
    <row r="15" s="81" customFormat="1" ht="36" hidden="1" spans="1:19">
      <c r="A15" s="34" t="s">
        <v>20</v>
      </c>
      <c r="B15" s="34" t="s">
        <v>21</v>
      </c>
      <c r="C15" s="34" t="s">
        <v>22</v>
      </c>
      <c r="D15" s="34" t="s">
        <v>23</v>
      </c>
      <c r="E15" s="34" t="s">
        <v>24</v>
      </c>
      <c r="F15" s="34">
        <v>77</v>
      </c>
      <c r="G15" s="34">
        <v>2024.9</v>
      </c>
      <c r="H15" s="34">
        <v>22</v>
      </c>
      <c r="I15" s="34">
        <v>77</v>
      </c>
      <c r="J15" s="34" t="s">
        <v>25</v>
      </c>
      <c r="K15" s="102" t="s">
        <v>60</v>
      </c>
      <c r="L15" s="102" t="s">
        <v>61</v>
      </c>
      <c r="M15" s="99" t="s">
        <v>36</v>
      </c>
      <c r="N15" s="103" t="s">
        <v>37</v>
      </c>
      <c r="O15" s="101" t="s">
        <v>30</v>
      </c>
      <c r="P15" s="101" t="s">
        <v>31</v>
      </c>
      <c r="Q15" s="103"/>
      <c r="R15" s="103"/>
      <c r="S15" s="103"/>
    </row>
    <row r="16" s="2" customFormat="1" ht="24" spans="1:19">
      <c r="A16" s="52" t="s">
        <v>62</v>
      </c>
      <c r="B16" s="52" t="s">
        <v>63</v>
      </c>
      <c r="C16" s="52" t="s">
        <v>64</v>
      </c>
      <c r="D16" s="15" t="s">
        <v>65</v>
      </c>
      <c r="E16" s="15" t="s">
        <v>66</v>
      </c>
      <c r="F16" s="15">
        <v>1</v>
      </c>
      <c r="G16" s="15">
        <v>2024.6</v>
      </c>
      <c r="H16" s="15">
        <v>29</v>
      </c>
      <c r="I16" s="15">
        <v>1</v>
      </c>
      <c r="J16" s="24" t="s">
        <v>67</v>
      </c>
      <c r="K16" s="15" t="s">
        <v>68</v>
      </c>
      <c r="L16" s="15" t="s">
        <v>69</v>
      </c>
      <c r="M16" s="14" t="s">
        <v>70</v>
      </c>
      <c r="N16" s="30" t="s">
        <v>71</v>
      </c>
      <c r="O16" s="75" t="s">
        <v>72</v>
      </c>
      <c r="P16" s="75" t="s">
        <v>73</v>
      </c>
      <c r="Q16" s="14"/>
      <c r="R16" s="14"/>
      <c r="S16" s="15"/>
    </row>
    <row r="17" s="2" customFormat="1" ht="36" spans="1:19">
      <c r="A17" s="52" t="s">
        <v>62</v>
      </c>
      <c r="B17" s="52" t="s">
        <v>63</v>
      </c>
      <c r="C17" s="52" t="s">
        <v>64</v>
      </c>
      <c r="D17" s="15"/>
      <c r="E17" s="15"/>
      <c r="F17" s="15"/>
      <c r="G17" s="15"/>
      <c r="H17" s="15"/>
      <c r="I17" s="15"/>
      <c r="J17" s="24" t="s">
        <v>67</v>
      </c>
      <c r="K17" s="15" t="s">
        <v>74</v>
      </c>
      <c r="L17" s="15" t="s">
        <v>75</v>
      </c>
      <c r="M17" s="14" t="s">
        <v>70</v>
      </c>
      <c r="N17" s="30" t="s">
        <v>71</v>
      </c>
      <c r="O17" s="75" t="s">
        <v>72</v>
      </c>
      <c r="P17" s="75" t="s">
        <v>73</v>
      </c>
      <c r="Q17" s="14"/>
      <c r="R17" s="14"/>
      <c r="S17" s="15"/>
    </row>
    <row r="18" s="2" customFormat="1" ht="54" hidden="1" spans="1:19">
      <c r="A18" s="86" t="s">
        <v>62</v>
      </c>
      <c r="B18" s="86" t="s">
        <v>63</v>
      </c>
      <c r="C18" s="86" t="s">
        <v>64</v>
      </c>
      <c r="D18" s="87" t="s">
        <v>76</v>
      </c>
      <c r="E18" s="87" t="s">
        <v>77</v>
      </c>
      <c r="F18" s="87">
        <v>1</v>
      </c>
      <c r="G18" s="87">
        <v>2024.6</v>
      </c>
      <c r="H18" s="87">
        <v>29</v>
      </c>
      <c r="I18" s="87">
        <v>1</v>
      </c>
      <c r="J18" s="91" t="s">
        <v>67</v>
      </c>
      <c r="K18" s="104" t="s">
        <v>78</v>
      </c>
      <c r="L18" s="105" t="s">
        <v>79</v>
      </c>
      <c r="M18" s="106" t="s">
        <v>36</v>
      </c>
      <c r="N18" s="107" t="s">
        <v>37</v>
      </c>
      <c r="O18" s="38" t="s">
        <v>72</v>
      </c>
      <c r="P18" s="38" t="s">
        <v>73</v>
      </c>
      <c r="Q18" s="128"/>
      <c r="R18" s="128"/>
      <c r="S18" s="106"/>
    </row>
    <row r="19" s="2" customFormat="1" ht="27" hidden="1" spans="1:19">
      <c r="A19" s="32" t="s">
        <v>62</v>
      </c>
      <c r="B19" s="32" t="s">
        <v>63</v>
      </c>
      <c r="C19" s="32" t="s">
        <v>64</v>
      </c>
      <c r="D19" s="88" t="s">
        <v>80</v>
      </c>
      <c r="E19" s="88" t="s">
        <v>81</v>
      </c>
      <c r="F19" s="88">
        <v>1</v>
      </c>
      <c r="G19" s="88">
        <v>2024.7</v>
      </c>
      <c r="H19" s="88">
        <v>19</v>
      </c>
      <c r="I19" s="88">
        <v>1</v>
      </c>
      <c r="J19" s="33" t="s">
        <v>67</v>
      </c>
      <c r="K19" s="36" t="s">
        <v>82</v>
      </c>
      <c r="L19" s="37" t="s">
        <v>83</v>
      </c>
      <c r="M19" s="43" t="s">
        <v>84</v>
      </c>
      <c r="N19" s="43" t="s">
        <v>84</v>
      </c>
      <c r="O19" s="38" t="s">
        <v>72</v>
      </c>
      <c r="P19" s="38" t="s">
        <v>73</v>
      </c>
      <c r="Q19" s="43"/>
      <c r="R19" s="43"/>
      <c r="S19" s="45"/>
    </row>
    <row r="20" s="2" customFormat="1" ht="27" hidden="1" spans="1:19">
      <c r="A20" s="32" t="s">
        <v>62</v>
      </c>
      <c r="B20" s="32" t="s">
        <v>63</v>
      </c>
      <c r="C20" s="32" t="s">
        <v>64</v>
      </c>
      <c r="D20" s="89" t="s">
        <v>85</v>
      </c>
      <c r="E20" s="89" t="s">
        <v>86</v>
      </c>
      <c r="F20" s="89">
        <v>1</v>
      </c>
      <c r="G20" s="89">
        <v>2025.3</v>
      </c>
      <c r="H20" s="89">
        <v>21</v>
      </c>
      <c r="I20" s="89">
        <v>1</v>
      </c>
      <c r="J20" s="33" t="s">
        <v>67</v>
      </c>
      <c r="K20" s="36" t="s">
        <v>87</v>
      </c>
      <c r="L20" s="37" t="s">
        <v>88</v>
      </c>
      <c r="M20" s="45" t="s">
        <v>36</v>
      </c>
      <c r="N20" s="100" t="s">
        <v>37</v>
      </c>
      <c r="O20" s="38" t="s">
        <v>72</v>
      </c>
      <c r="P20" s="38" t="s">
        <v>73</v>
      </c>
      <c r="Q20" s="43"/>
      <c r="R20" s="43"/>
      <c r="S20" s="45"/>
    </row>
    <row r="21" s="2" customFormat="1" ht="67.5" hidden="1" spans="1:19">
      <c r="A21" s="32" t="s">
        <v>62</v>
      </c>
      <c r="B21" s="32" t="s">
        <v>63</v>
      </c>
      <c r="C21" s="32" t="s">
        <v>64</v>
      </c>
      <c r="D21" s="90" t="s">
        <v>89</v>
      </c>
      <c r="E21" s="90" t="s">
        <v>90</v>
      </c>
      <c r="F21" s="89">
        <v>1</v>
      </c>
      <c r="G21" s="89">
        <v>2024.5</v>
      </c>
      <c r="H21" s="89">
        <v>13</v>
      </c>
      <c r="I21" s="89">
        <v>1</v>
      </c>
      <c r="J21" s="33" t="s">
        <v>67</v>
      </c>
      <c r="K21" s="36" t="s">
        <v>91</v>
      </c>
      <c r="L21" s="37" t="s">
        <v>92</v>
      </c>
      <c r="M21" s="45" t="s">
        <v>44</v>
      </c>
      <c r="N21" s="100" t="s">
        <v>45</v>
      </c>
      <c r="O21" s="38" t="s">
        <v>72</v>
      </c>
      <c r="P21" s="38" t="s">
        <v>73</v>
      </c>
      <c r="Q21" s="43"/>
      <c r="R21" s="44"/>
      <c r="S21" s="45"/>
    </row>
    <row r="22" s="2" customFormat="1" ht="27" hidden="1" spans="1:19">
      <c r="A22" s="32" t="s">
        <v>62</v>
      </c>
      <c r="B22" s="32" t="s">
        <v>63</v>
      </c>
      <c r="C22" s="32" t="s">
        <v>64</v>
      </c>
      <c r="D22" s="90" t="s">
        <v>93</v>
      </c>
      <c r="E22" s="90" t="s">
        <v>94</v>
      </c>
      <c r="F22" s="89">
        <v>4</v>
      </c>
      <c r="G22" s="89">
        <v>2025.4</v>
      </c>
      <c r="H22" s="89">
        <v>3</v>
      </c>
      <c r="I22" s="89">
        <v>4</v>
      </c>
      <c r="J22" s="33" t="s">
        <v>67</v>
      </c>
      <c r="K22" s="36" t="s">
        <v>95</v>
      </c>
      <c r="L22" s="37" t="s">
        <v>96</v>
      </c>
      <c r="M22" s="45" t="s">
        <v>97</v>
      </c>
      <c r="N22" s="100" t="s">
        <v>98</v>
      </c>
      <c r="O22" s="38" t="s">
        <v>72</v>
      </c>
      <c r="P22" s="38" t="s">
        <v>73</v>
      </c>
      <c r="Q22" s="43"/>
      <c r="R22" s="44"/>
      <c r="S22" s="45"/>
    </row>
    <row r="23" s="2" customFormat="1" ht="148.5" hidden="1" spans="1:19">
      <c r="A23" s="32" t="s">
        <v>62</v>
      </c>
      <c r="B23" s="32" t="s">
        <v>63</v>
      </c>
      <c r="C23" s="32" t="s">
        <v>64</v>
      </c>
      <c r="D23" s="33" t="s">
        <v>99</v>
      </c>
      <c r="E23" s="33" t="s">
        <v>100</v>
      </c>
      <c r="F23" s="33" t="s">
        <v>101</v>
      </c>
      <c r="G23" s="33">
        <v>2025.4</v>
      </c>
      <c r="H23" s="33">
        <v>8</v>
      </c>
      <c r="I23" s="33" t="s">
        <v>405</v>
      </c>
      <c r="J23" s="33" t="s">
        <v>67</v>
      </c>
      <c r="K23" s="108" t="s">
        <v>102</v>
      </c>
      <c r="L23" s="109" t="s">
        <v>103</v>
      </c>
      <c r="M23" s="110" t="s">
        <v>28</v>
      </c>
      <c r="N23" s="110" t="s">
        <v>29</v>
      </c>
      <c r="O23" s="38" t="s">
        <v>72</v>
      </c>
      <c r="P23" s="38" t="s">
        <v>73</v>
      </c>
      <c r="Q23" s="44"/>
      <c r="R23" s="44"/>
      <c r="S23" s="99"/>
    </row>
    <row r="24" s="2" customFormat="1" ht="36" spans="1:19">
      <c r="A24" s="52" t="s">
        <v>62</v>
      </c>
      <c r="B24" s="52" t="s">
        <v>63</v>
      </c>
      <c r="C24" s="52" t="s">
        <v>64</v>
      </c>
      <c r="D24" s="24" t="s">
        <v>99</v>
      </c>
      <c r="E24" s="24" t="s">
        <v>100</v>
      </c>
      <c r="F24" s="24" t="s">
        <v>101</v>
      </c>
      <c r="G24" s="24">
        <v>2025.4</v>
      </c>
      <c r="H24" s="24">
        <v>8</v>
      </c>
      <c r="I24" s="24" t="s">
        <v>101</v>
      </c>
      <c r="J24" s="24" t="s">
        <v>67</v>
      </c>
      <c r="K24" s="15" t="s">
        <v>104</v>
      </c>
      <c r="L24" s="15" t="s">
        <v>406</v>
      </c>
      <c r="M24" s="15" t="s">
        <v>70</v>
      </c>
      <c r="N24" s="15" t="s">
        <v>71</v>
      </c>
      <c r="O24" s="75" t="s">
        <v>72</v>
      </c>
      <c r="P24" s="75" t="s">
        <v>73</v>
      </c>
      <c r="Q24" s="14"/>
      <c r="R24" s="14"/>
      <c r="S24" s="15"/>
    </row>
    <row r="25" s="2" customFormat="1" ht="67.5" hidden="1" spans="1:19">
      <c r="A25" s="86" t="s">
        <v>62</v>
      </c>
      <c r="B25" s="86" t="s">
        <v>63</v>
      </c>
      <c r="C25" s="86" t="s">
        <v>64</v>
      </c>
      <c r="D25" s="91" t="s">
        <v>99</v>
      </c>
      <c r="E25" s="91" t="s">
        <v>100</v>
      </c>
      <c r="F25" s="91" t="s">
        <v>101</v>
      </c>
      <c r="G25" s="91">
        <v>2025.4</v>
      </c>
      <c r="H25" s="91">
        <v>8</v>
      </c>
      <c r="I25" s="91" t="s">
        <v>101</v>
      </c>
      <c r="J25" s="91" t="s">
        <v>67</v>
      </c>
      <c r="K25" s="104" t="s">
        <v>433</v>
      </c>
      <c r="L25" s="105" t="s">
        <v>408</v>
      </c>
      <c r="M25" s="105" t="s">
        <v>108</v>
      </c>
      <c r="N25" s="105" t="s">
        <v>109</v>
      </c>
      <c r="O25" s="38" t="s">
        <v>72</v>
      </c>
      <c r="P25" s="38" t="s">
        <v>73</v>
      </c>
      <c r="Q25" s="128"/>
      <c r="R25" s="129"/>
      <c r="S25" s="106"/>
    </row>
    <row r="26" s="2" customFormat="1" ht="81" hidden="1" spans="1:19">
      <c r="A26" s="32" t="s">
        <v>62</v>
      </c>
      <c r="B26" s="32" t="s">
        <v>63</v>
      </c>
      <c r="C26" s="32" t="s">
        <v>64</v>
      </c>
      <c r="D26" s="33" t="s">
        <v>99</v>
      </c>
      <c r="E26" s="33" t="s">
        <v>100</v>
      </c>
      <c r="F26" s="33" t="s">
        <v>101</v>
      </c>
      <c r="G26" s="33">
        <v>2025.4</v>
      </c>
      <c r="H26" s="33">
        <v>8</v>
      </c>
      <c r="I26" s="33" t="s">
        <v>101</v>
      </c>
      <c r="J26" s="33" t="s">
        <v>67</v>
      </c>
      <c r="K26" s="108" t="s">
        <v>409</v>
      </c>
      <c r="L26" s="109" t="s">
        <v>410</v>
      </c>
      <c r="M26" s="109" t="s">
        <v>108</v>
      </c>
      <c r="N26" s="109" t="s">
        <v>109</v>
      </c>
      <c r="O26" s="38" t="s">
        <v>72</v>
      </c>
      <c r="P26" s="38" t="s">
        <v>73</v>
      </c>
      <c r="Q26" s="44"/>
      <c r="R26" s="44"/>
      <c r="S26" s="99"/>
    </row>
    <row r="27" s="2" customFormat="1" ht="60" spans="1:19">
      <c r="A27" s="52" t="s">
        <v>62</v>
      </c>
      <c r="B27" s="52" t="s">
        <v>63</v>
      </c>
      <c r="C27" s="52" t="s">
        <v>64</v>
      </c>
      <c r="D27" s="24" t="s">
        <v>99</v>
      </c>
      <c r="E27" s="24" t="s">
        <v>100</v>
      </c>
      <c r="F27" s="24" t="s">
        <v>101</v>
      </c>
      <c r="G27" s="24">
        <v>2025.4</v>
      </c>
      <c r="H27" s="24">
        <v>8</v>
      </c>
      <c r="I27" s="24" t="s">
        <v>101</v>
      </c>
      <c r="J27" s="24" t="s">
        <v>67</v>
      </c>
      <c r="K27" s="15" t="s">
        <v>688</v>
      </c>
      <c r="L27" s="15" t="s">
        <v>689</v>
      </c>
      <c r="M27" s="15" t="s">
        <v>114</v>
      </c>
      <c r="N27" s="15" t="s">
        <v>115</v>
      </c>
      <c r="O27" s="75" t="s">
        <v>72</v>
      </c>
      <c r="P27" s="75" t="s">
        <v>73</v>
      </c>
      <c r="Q27" s="14"/>
      <c r="R27" s="14"/>
      <c r="S27" s="15"/>
    </row>
    <row r="28" s="2" customFormat="1" ht="48" spans="1:19">
      <c r="A28" s="52" t="s">
        <v>62</v>
      </c>
      <c r="B28" s="52" t="s">
        <v>63</v>
      </c>
      <c r="C28" s="52" t="s">
        <v>64</v>
      </c>
      <c r="D28" s="24" t="s">
        <v>99</v>
      </c>
      <c r="E28" s="24" t="s">
        <v>100</v>
      </c>
      <c r="F28" s="24" t="s">
        <v>101</v>
      </c>
      <c r="G28" s="24">
        <v>2025.4</v>
      </c>
      <c r="H28" s="24">
        <v>8</v>
      </c>
      <c r="I28" s="24" t="s">
        <v>101</v>
      </c>
      <c r="J28" s="24" t="s">
        <v>67</v>
      </c>
      <c r="K28" s="15" t="s">
        <v>411</v>
      </c>
      <c r="L28" s="15" t="s">
        <v>412</v>
      </c>
      <c r="M28" s="15" t="s">
        <v>118</v>
      </c>
      <c r="N28" s="15" t="s">
        <v>119</v>
      </c>
      <c r="O28" s="75" t="s">
        <v>72</v>
      </c>
      <c r="P28" s="75" t="s">
        <v>73</v>
      </c>
      <c r="Q28" s="14"/>
      <c r="R28" s="14"/>
      <c r="S28" s="15"/>
    </row>
    <row r="29" s="2" customFormat="1" ht="36" spans="1:19">
      <c r="A29" s="52" t="s">
        <v>62</v>
      </c>
      <c r="B29" s="52" t="s">
        <v>63</v>
      </c>
      <c r="C29" s="52" t="s">
        <v>64</v>
      </c>
      <c r="D29" s="24" t="s">
        <v>99</v>
      </c>
      <c r="E29" s="24" t="s">
        <v>100</v>
      </c>
      <c r="F29" s="24" t="s">
        <v>101</v>
      </c>
      <c r="G29" s="24">
        <v>2025.4</v>
      </c>
      <c r="H29" s="24">
        <v>8</v>
      </c>
      <c r="I29" s="24" t="s">
        <v>101</v>
      </c>
      <c r="J29" s="24" t="s">
        <v>67</v>
      </c>
      <c r="K29" s="15" t="s">
        <v>120</v>
      </c>
      <c r="L29" s="15" t="s">
        <v>121</v>
      </c>
      <c r="M29" s="15" t="s">
        <v>70</v>
      </c>
      <c r="N29" s="15" t="s">
        <v>122</v>
      </c>
      <c r="O29" s="75" t="s">
        <v>72</v>
      </c>
      <c r="P29" s="75" t="s">
        <v>73</v>
      </c>
      <c r="Q29" s="14"/>
      <c r="R29" s="14"/>
      <c r="S29" s="15"/>
    </row>
    <row r="30" s="2" customFormat="1" ht="42.75" hidden="1" spans="1:19">
      <c r="A30" s="86" t="s">
        <v>62</v>
      </c>
      <c r="B30" s="86" t="s">
        <v>63</v>
      </c>
      <c r="C30" s="86" t="s">
        <v>64</v>
      </c>
      <c r="D30" s="91" t="s">
        <v>99</v>
      </c>
      <c r="E30" s="91" t="s">
        <v>100</v>
      </c>
      <c r="F30" s="91" t="s">
        <v>101</v>
      </c>
      <c r="G30" s="91">
        <v>2025.4</v>
      </c>
      <c r="H30" s="91">
        <v>8</v>
      </c>
      <c r="I30" s="91" t="s">
        <v>101</v>
      </c>
      <c r="J30" s="91" t="s">
        <v>67</v>
      </c>
      <c r="K30" s="104" t="s">
        <v>123</v>
      </c>
      <c r="L30" s="105" t="s">
        <v>124</v>
      </c>
      <c r="M30" s="105" t="s">
        <v>125</v>
      </c>
      <c r="N30" s="105" t="s">
        <v>126</v>
      </c>
      <c r="O30" s="38" t="s">
        <v>72</v>
      </c>
      <c r="P30" s="38" t="s">
        <v>73</v>
      </c>
      <c r="Q30" s="128"/>
      <c r="R30" s="129"/>
      <c r="S30" s="106"/>
    </row>
    <row r="31" s="2" customFormat="1" ht="85.5" hidden="1" spans="1:19">
      <c r="A31" s="32" t="s">
        <v>62</v>
      </c>
      <c r="B31" s="32" t="s">
        <v>63</v>
      </c>
      <c r="C31" s="32" t="s">
        <v>64</v>
      </c>
      <c r="D31" s="33" t="s">
        <v>127</v>
      </c>
      <c r="E31" s="33" t="s">
        <v>128</v>
      </c>
      <c r="F31" s="33" t="s">
        <v>129</v>
      </c>
      <c r="G31" s="33">
        <v>2025.4</v>
      </c>
      <c r="H31" s="33">
        <v>14</v>
      </c>
      <c r="I31" s="33" t="s">
        <v>405</v>
      </c>
      <c r="J31" s="33" t="s">
        <v>67</v>
      </c>
      <c r="K31" s="36" t="s">
        <v>130</v>
      </c>
      <c r="L31" s="37" t="s">
        <v>131</v>
      </c>
      <c r="M31" s="37" t="s">
        <v>132</v>
      </c>
      <c r="N31" s="37" t="s">
        <v>133</v>
      </c>
      <c r="O31" s="38" t="s">
        <v>72</v>
      </c>
      <c r="P31" s="38" t="s">
        <v>73</v>
      </c>
      <c r="Q31" s="43"/>
      <c r="R31" s="44"/>
      <c r="S31" s="45"/>
    </row>
    <row r="32" s="2" customFormat="1" ht="85.5" hidden="1" spans="1:19">
      <c r="A32" s="32" t="s">
        <v>62</v>
      </c>
      <c r="B32" s="32" t="s">
        <v>63</v>
      </c>
      <c r="C32" s="32" t="s">
        <v>64</v>
      </c>
      <c r="D32" s="33" t="s">
        <v>127</v>
      </c>
      <c r="E32" s="33" t="s">
        <v>128</v>
      </c>
      <c r="F32" s="33" t="s">
        <v>129</v>
      </c>
      <c r="G32" s="33">
        <v>2025.4</v>
      </c>
      <c r="H32" s="33">
        <v>14</v>
      </c>
      <c r="I32" s="33" t="s">
        <v>129</v>
      </c>
      <c r="J32" s="33" t="s">
        <v>67</v>
      </c>
      <c r="K32" s="36" t="s">
        <v>134</v>
      </c>
      <c r="L32" s="37" t="s">
        <v>135</v>
      </c>
      <c r="M32" s="37"/>
      <c r="N32" s="37"/>
      <c r="O32" s="38" t="s">
        <v>72</v>
      </c>
      <c r="P32" s="38" t="s">
        <v>73</v>
      </c>
      <c r="Q32" s="43"/>
      <c r="R32" s="44"/>
      <c r="S32" s="45"/>
    </row>
    <row r="33" s="2" customFormat="1" ht="94.5" hidden="1" spans="1:19">
      <c r="A33" s="32" t="s">
        <v>62</v>
      </c>
      <c r="B33" s="32" t="s">
        <v>63</v>
      </c>
      <c r="C33" s="32" t="s">
        <v>64</v>
      </c>
      <c r="D33" s="33" t="s">
        <v>127</v>
      </c>
      <c r="E33" s="33" t="s">
        <v>128</v>
      </c>
      <c r="F33" s="33" t="s">
        <v>129</v>
      </c>
      <c r="G33" s="33">
        <v>2025.4</v>
      </c>
      <c r="H33" s="33">
        <v>14</v>
      </c>
      <c r="I33" s="33" t="s">
        <v>129</v>
      </c>
      <c r="J33" s="33" t="s">
        <v>67</v>
      </c>
      <c r="K33" s="36" t="s">
        <v>413</v>
      </c>
      <c r="L33" s="37" t="s">
        <v>414</v>
      </c>
      <c r="M33" s="37" t="s">
        <v>138</v>
      </c>
      <c r="N33" s="37" t="s">
        <v>139</v>
      </c>
      <c r="O33" s="38" t="s">
        <v>72</v>
      </c>
      <c r="P33" s="38" t="s">
        <v>73</v>
      </c>
      <c r="Q33" s="43"/>
      <c r="R33" s="44"/>
      <c r="S33" s="45"/>
    </row>
    <row r="34" s="2" customFormat="1" ht="85.5" hidden="1" spans="1:19">
      <c r="A34" s="32" t="s">
        <v>62</v>
      </c>
      <c r="B34" s="32" t="s">
        <v>63</v>
      </c>
      <c r="C34" s="32" t="s">
        <v>64</v>
      </c>
      <c r="D34" s="33" t="s">
        <v>127</v>
      </c>
      <c r="E34" s="33" t="s">
        <v>128</v>
      </c>
      <c r="F34" s="33" t="s">
        <v>129</v>
      </c>
      <c r="G34" s="33">
        <v>2025.4</v>
      </c>
      <c r="H34" s="33">
        <v>14</v>
      </c>
      <c r="I34" s="33" t="s">
        <v>129</v>
      </c>
      <c r="J34" s="33" t="s">
        <v>67</v>
      </c>
      <c r="K34" s="36" t="s">
        <v>140</v>
      </c>
      <c r="L34" s="37" t="s">
        <v>415</v>
      </c>
      <c r="M34" s="37" t="s">
        <v>132</v>
      </c>
      <c r="N34" s="37" t="s">
        <v>133</v>
      </c>
      <c r="O34" s="38" t="s">
        <v>72</v>
      </c>
      <c r="P34" s="38" t="s">
        <v>73</v>
      </c>
      <c r="Q34" s="43"/>
      <c r="R34" s="44"/>
      <c r="S34" s="45"/>
    </row>
    <row r="35" s="2" customFormat="1" ht="85.5" hidden="1" spans="1:19">
      <c r="A35" s="32" t="s">
        <v>62</v>
      </c>
      <c r="B35" s="32" t="s">
        <v>63</v>
      </c>
      <c r="C35" s="32" t="s">
        <v>64</v>
      </c>
      <c r="D35" s="33" t="s">
        <v>127</v>
      </c>
      <c r="E35" s="33" t="s">
        <v>128</v>
      </c>
      <c r="F35" s="33" t="s">
        <v>129</v>
      </c>
      <c r="G35" s="33">
        <v>2025.4</v>
      </c>
      <c r="H35" s="33">
        <v>14</v>
      </c>
      <c r="I35" s="33" t="s">
        <v>129</v>
      </c>
      <c r="J35" s="33" t="s">
        <v>67</v>
      </c>
      <c r="K35" s="36" t="s">
        <v>142</v>
      </c>
      <c r="L35" s="37" t="s">
        <v>143</v>
      </c>
      <c r="M35" s="37" t="s">
        <v>84</v>
      </c>
      <c r="N35" s="37" t="s">
        <v>84</v>
      </c>
      <c r="O35" s="38" t="s">
        <v>72</v>
      </c>
      <c r="P35" s="38" t="s">
        <v>73</v>
      </c>
      <c r="Q35" s="43"/>
      <c r="R35" s="44"/>
      <c r="S35" s="45"/>
    </row>
    <row r="36" s="2" customFormat="1" ht="85.5" hidden="1" spans="1:19">
      <c r="A36" s="32" t="s">
        <v>62</v>
      </c>
      <c r="B36" s="32" t="s">
        <v>63</v>
      </c>
      <c r="C36" s="32" t="s">
        <v>64</v>
      </c>
      <c r="D36" s="33" t="s">
        <v>127</v>
      </c>
      <c r="E36" s="33" t="s">
        <v>128</v>
      </c>
      <c r="F36" s="33" t="s">
        <v>129</v>
      </c>
      <c r="G36" s="33">
        <v>2025.4</v>
      </c>
      <c r="H36" s="33">
        <v>14</v>
      </c>
      <c r="I36" s="33" t="s">
        <v>129</v>
      </c>
      <c r="J36" s="33" t="s">
        <v>67</v>
      </c>
      <c r="K36" s="36" t="s">
        <v>416</v>
      </c>
      <c r="L36" s="37" t="s">
        <v>145</v>
      </c>
      <c r="M36" s="37" t="s">
        <v>28</v>
      </c>
      <c r="N36" s="37" t="s">
        <v>29</v>
      </c>
      <c r="O36" s="38" t="s">
        <v>72</v>
      </c>
      <c r="P36" s="38" t="s">
        <v>73</v>
      </c>
      <c r="Q36" s="43"/>
      <c r="R36" s="44"/>
      <c r="S36" s="45"/>
    </row>
    <row r="37" s="2" customFormat="1" ht="162" hidden="1" spans="1:19">
      <c r="A37" s="32" t="s">
        <v>62</v>
      </c>
      <c r="B37" s="32" t="s">
        <v>63</v>
      </c>
      <c r="C37" s="32" t="s">
        <v>64</v>
      </c>
      <c r="D37" s="33" t="s">
        <v>127</v>
      </c>
      <c r="E37" s="33" t="s">
        <v>128</v>
      </c>
      <c r="F37" s="33" t="s">
        <v>129</v>
      </c>
      <c r="G37" s="33">
        <v>2025.4</v>
      </c>
      <c r="H37" s="33">
        <v>14</v>
      </c>
      <c r="I37" s="33" t="s">
        <v>129</v>
      </c>
      <c r="J37" s="33" t="s">
        <v>67</v>
      </c>
      <c r="K37" s="108" t="s">
        <v>417</v>
      </c>
      <c r="L37" s="109" t="s">
        <v>418</v>
      </c>
      <c r="M37" s="109" t="s">
        <v>148</v>
      </c>
      <c r="N37" s="109" t="s">
        <v>148</v>
      </c>
      <c r="O37" s="38" t="s">
        <v>72</v>
      </c>
      <c r="P37" s="38" t="s">
        <v>73</v>
      </c>
      <c r="Q37" s="44"/>
      <c r="R37" s="44"/>
      <c r="S37" s="99"/>
    </row>
    <row r="38" s="2" customFormat="1" spans="1:19">
      <c r="A38" s="52" t="s">
        <v>149</v>
      </c>
      <c r="B38" s="24" t="s">
        <v>21</v>
      </c>
      <c r="C38" s="24" t="s">
        <v>150</v>
      </c>
      <c r="D38" s="24" t="s">
        <v>151</v>
      </c>
      <c r="E38" s="24" t="s">
        <v>152</v>
      </c>
      <c r="F38" s="24">
        <v>4</v>
      </c>
      <c r="G38" s="24">
        <v>2024.12</v>
      </c>
      <c r="H38" s="24">
        <v>30</v>
      </c>
      <c r="I38" s="24">
        <v>4</v>
      </c>
      <c r="J38" s="24" t="s">
        <v>153</v>
      </c>
      <c r="K38" s="15" t="s">
        <v>154</v>
      </c>
      <c r="L38" s="15" t="s">
        <v>155</v>
      </c>
      <c r="M38" s="15" t="s">
        <v>70</v>
      </c>
      <c r="N38" s="15" t="s">
        <v>156</v>
      </c>
      <c r="O38" s="75" t="s">
        <v>72</v>
      </c>
      <c r="P38" s="75" t="s">
        <v>157</v>
      </c>
      <c r="Q38" s="14"/>
      <c r="R38" s="75"/>
      <c r="S38" s="15"/>
    </row>
    <row r="39" s="2" customFormat="1" ht="27" hidden="1" spans="1:19">
      <c r="A39" s="92" t="s">
        <v>149</v>
      </c>
      <c r="B39" s="93" t="s">
        <v>21</v>
      </c>
      <c r="C39" s="93" t="s">
        <v>150</v>
      </c>
      <c r="D39" s="93" t="s">
        <v>151</v>
      </c>
      <c r="E39" s="93" t="s">
        <v>152</v>
      </c>
      <c r="F39" s="93">
        <v>4</v>
      </c>
      <c r="G39" s="93">
        <v>2024.12</v>
      </c>
      <c r="H39" s="93">
        <v>30</v>
      </c>
      <c r="I39" s="93">
        <v>4</v>
      </c>
      <c r="J39" s="111" t="s">
        <v>153</v>
      </c>
      <c r="K39" s="105" t="s">
        <v>158</v>
      </c>
      <c r="L39" s="105" t="s">
        <v>159</v>
      </c>
      <c r="M39" s="112" t="s">
        <v>36</v>
      </c>
      <c r="N39" s="112" t="s">
        <v>160</v>
      </c>
      <c r="O39" s="38" t="s">
        <v>72</v>
      </c>
      <c r="P39" s="38" t="s">
        <v>157</v>
      </c>
      <c r="Q39" s="128"/>
      <c r="R39" s="38"/>
      <c r="S39" s="106"/>
    </row>
    <row r="40" s="2" customFormat="1" ht="27" hidden="1" spans="1:19">
      <c r="A40" s="32" t="s">
        <v>149</v>
      </c>
      <c r="B40" s="94" t="s">
        <v>21</v>
      </c>
      <c r="C40" s="94" t="s">
        <v>150</v>
      </c>
      <c r="D40" s="94" t="s">
        <v>151</v>
      </c>
      <c r="E40" s="94" t="s">
        <v>152</v>
      </c>
      <c r="F40" s="94">
        <v>4</v>
      </c>
      <c r="G40" s="94">
        <v>2024.12</v>
      </c>
      <c r="H40" s="94">
        <v>30</v>
      </c>
      <c r="I40" s="94">
        <v>4</v>
      </c>
      <c r="J40" s="33" t="s">
        <v>153</v>
      </c>
      <c r="K40" s="109" t="s">
        <v>161</v>
      </c>
      <c r="L40" s="109" t="s">
        <v>162</v>
      </c>
      <c r="M40" s="110" t="s">
        <v>36</v>
      </c>
      <c r="N40" s="110" t="s">
        <v>160</v>
      </c>
      <c r="O40" s="101" t="s">
        <v>72</v>
      </c>
      <c r="P40" s="101" t="s">
        <v>157</v>
      </c>
      <c r="Q40" s="44"/>
      <c r="R40" s="101"/>
      <c r="S40" s="99"/>
    </row>
    <row r="41" s="2" customFormat="1" ht="72" spans="1:19">
      <c r="A41" s="52" t="s">
        <v>149</v>
      </c>
      <c r="B41" s="15" t="s">
        <v>21</v>
      </c>
      <c r="C41" s="15" t="s">
        <v>163</v>
      </c>
      <c r="D41" s="15" t="s">
        <v>690</v>
      </c>
      <c r="E41" s="15" t="s">
        <v>165</v>
      </c>
      <c r="F41" s="15">
        <v>14</v>
      </c>
      <c r="G41" s="15">
        <v>2024.1</v>
      </c>
      <c r="H41" s="15">
        <v>2</v>
      </c>
      <c r="I41" s="15">
        <v>14</v>
      </c>
      <c r="J41" s="24" t="s">
        <v>153</v>
      </c>
      <c r="K41" s="15" t="s">
        <v>166</v>
      </c>
      <c r="L41" s="15" t="s">
        <v>167</v>
      </c>
      <c r="M41" s="15" t="s">
        <v>70</v>
      </c>
      <c r="N41" s="15" t="s">
        <v>168</v>
      </c>
      <c r="O41" s="30" t="s">
        <v>169</v>
      </c>
      <c r="P41" s="30" t="s">
        <v>169</v>
      </c>
      <c r="Q41" s="14"/>
      <c r="R41" s="14"/>
      <c r="S41" s="15"/>
    </row>
    <row r="42" s="82" customFormat="1" ht="27" hidden="1" spans="1:19">
      <c r="A42" s="91" t="s">
        <v>170</v>
      </c>
      <c r="B42" s="95" t="s">
        <v>63</v>
      </c>
      <c r="C42" s="95" t="s">
        <v>171</v>
      </c>
      <c r="D42" s="95" t="s">
        <v>172</v>
      </c>
      <c r="E42" s="95" t="s">
        <v>173</v>
      </c>
      <c r="F42" s="95">
        <v>2</v>
      </c>
      <c r="G42" s="95">
        <v>2025.3</v>
      </c>
      <c r="H42" s="95">
        <v>18</v>
      </c>
      <c r="I42" s="95">
        <v>2</v>
      </c>
      <c r="J42" s="111" t="s">
        <v>153</v>
      </c>
      <c r="K42" s="113" t="s">
        <v>174</v>
      </c>
      <c r="L42" s="113" t="s">
        <v>175</v>
      </c>
      <c r="M42" s="106" t="s">
        <v>28</v>
      </c>
      <c r="N42" s="106" t="s">
        <v>176</v>
      </c>
      <c r="O42" s="114" t="s">
        <v>72</v>
      </c>
      <c r="P42" s="114" t="s">
        <v>73</v>
      </c>
      <c r="Q42" s="128"/>
      <c r="R42" s="128"/>
      <c r="S42" s="106"/>
    </row>
    <row r="43" s="82" customFormat="1" ht="27" hidden="1" spans="1:19">
      <c r="A43" s="33" t="s">
        <v>170</v>
      </c>
      <c r="B43" s="96" t="s">
        <v>63</v>
      </c>
      <c r="C43" s="96" t="s">
        <v>171</v>
      </c>
      <c r="D43" s="96" t="s">
        <v>172</v>
      </c>
      <c r="E43" s="96" t="s">
        <v>173</v>
      </c>
      <c r="F43" s="96">
        <v>2</v>
      </c>
      <c r="G43" s="96">
        <v>2025.3</v>
      </c>
      <c r="H43" s="96">
        <v>18</v>
      </c>
      <c r="I43" s="96">
        <v>2</v>
      </c>
      <c r="J43" s="115" t="s">
        <v>153</v>
      </c>
      <c r="K43" s="116" t="s">
        <v>177</v>
      </c>
      <c r="L43" s="117" t="s">
        <v>178</v>
      </c>
      <c r="M43" s="117" t="s">
        <v>36</v>
      </c>
      <c r="N43" s="45" t="s">
        <v>160</v>
      </c>
      <c r="O43" s="118" t="s">
        <v>72</v>
      </c>
      <c r="P43" s="118" t="s">
        <v>73</v>
      </c>
      <c r="Q43" s="43"/>
      <c r="R43" s="43"/>
      <c r="S43" s="45"/>
    </row>
    <row r="44" s="82" customFormat="1" ht="40.5" hidden="1" spans="1:19">
      <c r="A44" s="33" t="s">
        <v>170</v>
      </c>
      <c r="B44" s="96" t="s">
        <v>63</v>
      </c>
      <c r="C44" s="96" t="s">
        <v>171</v>
      </c>
      <c r="D44" s="96" t="s">
        <v>172</v>
      </c>
      <c r="E44" s="96" t="s">
        <v>173</v>
      </c>
      <c r="F44" s="96">
        <v>2</v>
      </c>
      <c r="G44" s="96">
        <v>2025.3</v>
      </c>
      <c r="H44" s="96">
        <v>18</v>
      </c>
      <c r="I44" s="96">
        <v>2</v>
      </c>
      <c r="J44" s="115" t="s">
        <v>153</v>
      </c>
      <c r="K44" s="116" t="s">
        <v>179</v>
      </c>
      <c r="L44" s="116" t="s">
        <v>180</v>
      </c>
      <c r="M44" s="117" t="s">
        <v>36</v>
      </c>
      <c r="N44" s="45" t="s">
        <v>160</v>
      </c>
      <c r="O44" s="118" t="s">
        <v>72</v>
      </c>
      <c r="P44" s="118" t="s">
        <v>73</v>
      </c>
      <c r="Q44" s="43"/>
      <c r="R44" s="43"/>
      <c r="S44" s="45"/>
    </row>
    <row r="45" s="82" customFormat="1" ht="40.5" hidden="1" spans="1:19">
      <c r="A45" s="33" t="s">
        <v>170</v>
      </c>
      <c r="B45" s="96" t="s">
        <v>63</v>
      </c>
      <c r="C45" s="96" t="s">
        <v>171</v>
      </c>
      <c r="D45" s="96" t="s">
        <v>172</v>
      </c>
      <c r="E45" s="96" t="s">
        <v>173</v>
      </c>
      <c r="F45" s="96">
        <v>2</v>
      </c>
      <c r="G45" s="96">
        <v>2025.3</v>
      </c>
      <c r="H45" s="96">
        <v>18</v>
      </c>
      <c r="I45" s="96">
        <v>2</v>
      </c>
      <c r="J45" s="115" t="s">
        <v>153</v>
      </c>
      <c r="K45" s="116" t="s">
        <v>181</v>
      </c>
      <c r="L45" s="116" t="s">
        <v>182</v>
      </c>
      <c r="M45" s="117" t="s">
        <v>36</v>
      </c>
      <c r="N45" s="45" t="s">
        <v>160</v>
      </c>
      <c r="O45" s="118" t="s">
        <v>72</v>
      </c>
      <c r="P45" s="118" t="s">
        <v>73</v>
      </c>
      <c r="Q45" s="43"/>
      <c r="R45" s="43"/>
      <c r="S45" s="45"/>
    </row>
    <row r="46" s="82" customFormat="1" ht="27" hidden="1" spans="1:19">
      <c r="A46" s="33" t="s">
        <v>170</v>
      </c>
      <c r="B46" s="96" t="s">
        <v>63</v>
      </c>
      <c r="C46" s="96" t="s">
        <v>171</v>
      </c>
      <c r="D46" s="96" t="s">
        <v>172</v>
      </c>
      <c r="E46" s="96" t="s">
        <v>173</v>
      </c>
      <c r="F46" s="96">
        <v>2</v>
      </c>
      <c r="G46" s="96">
        <v>2025.3</v>
      </c>
      <c r="H46" s="96">
        <v>18</v>
      </c>
      <c r="I46" s="96">
        <v>2</v>
      </c>
      <c r="J46" s="115" t="s">
        <v>153</v>
      </c>
      <c r="K46" s="116" t="s">
        <v>434</v>
      </c>
      <c r="L46" s="116" t="s">
        <v>184</v>
      </c>
      <c r="M46" s="45" t="s">
        <v>44</v>
      </c>
      <c r="N46" s="45" t="s">
        <v>45</v>
      </c>
      <c r="O46" s="118" t="s">
        <v>72</v>
      </c>
      <c r="P46" s="118" t="s">
        <v>73</v>
      </c>
      <c r="Q46" s="43"/>
      <c r="R46" s="43"/>
      <c r="S46" s="45"/>
    </row>
    <row r="47" s="82" customFormat="1" ht="40.5" hidden="1" spans="1:19">
      <c r="A47" s="33" t="s">
        <v>170</v>
      </c>
      <c r="B47" s="96" t="s">
        <v>63</v>
      </c>
      <c r="C47" s="96" t="s">
        <v>171</v>
      </c>
      <c r="D47" s="96" t="s">
        <v>172</v>
      </c>
      <c r="E47" s="96" t="s">
        <v>173</v>
      </c>
      <c r="F47" s="96">
        <v>2</v>
      </c>
      <c r="G47" s="96">
        <v>2025.3</v>
      </c>
      <c r="H47" s="96">
        <v>18</v>
      </c>
      <c r="I47" s="96">
        <v>2</v>
      </c>
      <c r="J47" s="115" t="s">
        <v>153</v>
      </c>
      <c r="K47" s="116" t="s">
        <v>185</v>
      </c>
      <c r="L47" s="116" t="s">
        <v>691</v>
      </c>
      <c r="M47" s="45" t="s">
        <v>52</v>
      </c>
      <c r="N47" s="45" t="s">
        <v>187</v>
      </c>
      <c r="O47" s="118" t="s">
        <v>72</v>
      </c>
      <c r="P47" s="118" t="s">
        <v>73</v>
      </c>
      <c r="Q47" s="43"/>
      <c r="R47" s="43"/>
      <c r="S47" s="45"/>
    </row>
    <row r="48" s="82" customFormat="1" ht="14.25" hidden="1" spans="1:19">
      <c r="A48" s="33" t="s">
        <v>170</v>
      </c>
      <c r="B48" s="96" t="s">
        <v>63</v>
      </c>
      <c r="C48" s="96" t="s">
        <v>171</v>
      </c>
      <c r="D48" s="96" t="s">
        <v>172</v>
      </c>
      <c r="E48" s="96" t="s">
        <v>173</v>
      </c>
      <c r="F48" s="96">
        <v>2</v>
      </c>
      <c r="G48" s="96">
        <v>2025.3</v>
      </c>
      <c r="H48" s="96">
        <v>18</v>
      </c>
      <c r="I48" s="96">
        <v>2</v>
      </c>
      <c r="J48" s="115" t="s">
        <v>153</v>
      </c>
      <c r="K48" s="116" t="s">
        <v>188</v>
      </c>
      <c r="L48" s="116" t="s">
        <v>189</v>
      </c>
      <c r="M48" s="45" t="s">
        <v>44</v>
      </c>
      <c r="N48" s="45" t="s">
        <v>45</v>
      </c>
      <c r="O48" s="118" t="s">
        <v>72</v>
      </c>
      <c r="P48" s="118" t="s">
        <v>73</v>
      </c>
      <c r="Q48" s="43"/>
      <c r="R48" s="43"/>
      <c r="S48" s="45"/>
    </row>
    <row r="49" s="82" customFormat="1" ht="27" hidden="1" spans="1:19">
      <c r="A49" s="33" t="s">
        <v>170</v>
      </c>
      <c r="B49" s="96" t="s">
        <v>63</v>
      </c>
      <c r="C49" s="96" t="s">
        <v>171</v>
      </c>
      <c r="D49" s="96" t="s">
        <v>172</v>
      </c>
      <c r="E49" s="96" t="s">
        <v>173</v>
      </c>
      <c r="F49" s="96">
        <v>2</v>
      </c>
      <c r="G49" s="96">
        <v>2025.3</v>
      </c>
      <c r="H49" s="96">
        <v>18</v>
      </c>
      <c r="I49" s="96">
        <v>2</v>
      </c>
      <c r="J49" s="115" t="s">
        <v>153</v>
      </c>
      <c r="K49" s="116" t="s">
        <v>190</v>
      </c>
      <c r="L49" s="116" t="s">
        <v>191</v>
      </c>
      <c r="M49" s="117" t="s">
        <v>36</v>
      </c>
      <c r="N49" s="45" t="s">
        <v>160</v>
      </c>
      <c r="O49" s="118" t="s">
        <v>72</v>
      </c>
      <c r="P49" s="118" t="s">
        <v>73</v>
      </c>
      <c r="Q49" s="43"/>
      <c r="R49" s="43"/>
      <c r="S49" s="45"/>
    </row>
    <row r="50" s="82" customFormat="1" ht="40.5" hidden="1" spans="1:19">
      <c r="A50" s="33" t="s">
        <v>170</v>
      </c>
      <c r="B50" s="96" t="s">
        <v>63</v>
      </c>
      <c r="C50" s="96" t="s">
        <v>171</v>
      </c>
      <c r="D50" s="96" t="s">
        <v>172</v>
      </c>
      <c r="E50" s="96" t="s">
        <v>173</v>
      </c>
      <c r="F50" s="96">
        <v>2</v>
      </c>
      <c r="G50" s="96">
        <v>2025.3</v>
      </c>
      <c r="H50" s="96">
        <v>18</v>
      </c>
      <c r="I50" s="96">
        <v>2</v>
      </c>
      <c r="J50" s="115" t="s">
        <v>153</v>
      </c>
      <c r="K50" s="116" t="s">
        <v>192</v>
      </c>
      <c r="L50" s="116" t="s">
        <v>193</v>
      </c>
      <c r="M50" s="45" t="s">
        <v>44</v>
      </c>
      <c r="N50" s="45" t="s">
        <v>45</v>
      </c>
      <c r="O50" s="118" t="s">
        <v>72</v>
      </c>
      <c r="P50" s="118" t="s">
        <v>73</v>
      </c>
      <c r="Q50" s="43"/>
      <c r="R50" s="43"/>
      <c r="S50" s="45"/>
    </row>
    <row r="51" s="82" customFormat="1" ht="40.5" hidden="1" spans="1:19">
      <c r="A51" s="33" t="s">
        <v>170</v>
      </c>
      <c r="B51" s="96" t="s">
        <v>63</v>
      </c>
      <c r="C51" s="96" t="s">
        <v>171</v>
      </c>
      <c r="D51" s="96" t="s">
        <v>194</v>
      </c>
      <c r="E51" s="96" t="s">
        <v>195</v>
      </c>
      <c r="F51" s="96">
        <v>3</v>
      </c>
      <c r="G51" s="96">
        <v>2025.4</v>
      </c>
      <c r="H51" s="96">
        <v>9</v>
      </c>
      <c r="I51" s="96">
        <v>3</v>
      </c>
      <c r="J51" s="115" t="s">
        <v>153</v>
      </c>
      <c r="K51" s="116" t="s">
        <v>196</v>
      </c>
      <c r="L51" s="116" t="s">
        <v>197</v>
      </c>
      <c r="M51" s="117" t="s">
        <v>36</v>
      </c>
      <c r="N51" s="45" t="s">
        <v>160</v>
      </c>
      <c r="O51" s="118" t="s">
        <v>72</v>
      </c>
      <c r="P51" s="118" t="s">
        <v>73</v>
      </c>
      <c r="Q51" s="43"/>
      <c r="R51" s="43"/>
      <c r="S51" s="45"/>
    </row>
    <row r="52" s="82" customFormat="1" ht="27" hidden="1" spans="1:19">
      <c r="A52" s="33" t="s">
        <v>170</v>
      </c>
      <c r="B52" s="96" t="s">
        <v>63</v>
      </c>
      <c r="C52" s="96" t="s">
        <v>171</v>
      </c>
      <c r="D52" s="96" t="s">
        <v>194</v>
      </c>
      <c r="E52" s="96" t="s">
        <v>195</v>
      </c>
      <c r="F52" s="96">
        <v>3</v>
      </c>
      <c r="G52" s="96">
        <v>2025.4</v>
      </c>
      <c r="H52" s="96">
        <v>9</v>
      </c>
      <c r="I52" s="96">
        <v>3</v>
      </c>
      <c r="J52" s="115" t="s">
        <v>153</v>
      </c>
      <c r="K52" s="116" t="s">
        <v>198</v>
      </c>
      <c r="L52" s="116" t="s">
        <v>199</v>
      </c>
      <c r="M52" s="117" t="s">
        <v>36</v>
      </c>
      <c r="N52" s="45" t="s">
        <v>160</v>
      </c>
      <c r="O52" s="118" t="s">
        <v>72</v>
      </c>
      <c r="P52" s="118" t="s">
        <v>73</v>
      </c>
      <c r="Q52" s="43"/>
      <c r="R52" s="43"/>
      <c r="S52" s="45"/>
    </row>
    <row r="53" s="82" customFormat="1" ht="27" hidden="1" spans="1:19">
      <c r="A53" s="33" t="s">
        <v>170</v>
      </c>
      <c r="B53" s="96" t="s">
        <v>63</v>
      </c>
      <c r="C53" s="96" t="s">
        <v>171</v>
      </c>
      <c r="D53" s="96" t="s">
        <v>194</v>
      </c>
      <c r="E53" s="96" t="s">
        <v>195</v>
      </c>
      <c r="F53" s="96">
        <v>3</v>
      </c>
      <c r="G53" s="96">
        <v>2025.4</v>
      </c>
      <c r="H53" s="96">
        <v>9</v>
      </c>
      <c r="I53" s="96">
        <v>3</v>
      </c>
      <c r="J53" s="115" t="s">
        <v>153</v>
      </c>
      <c r="K53" s="116" t="s">
        <v>200</v>
      </c>
      <c r="L53" s="116" t="s">
        <v>201</v>
      </c>
      <c r="M53" s="117" t="s">
        <v>36</v>
      </c>
      <c r="N53" s="45" t="s">
        <v>160</v>
      </c>
      <c r="O53" s="118" t="s">
        <v>72</v>
      </c>
      <c r="P53" s="118" t="s">
        <v>73</v>
      </c>
      <c r="Q53" s="43"/>
      <c r="R53" s="43"/>
      <c r="S53" s="45"/>
    </row>
    <row r="54" s="82" customFormat="1" ht="14.25" hidden="1" spans="1:19">
      <c r="A54" s="33" t="s">
        <v>170</v>
      </c>
      <c r="B54" s="96" t="s">
        <v>63</v>
      </c>
      <c r="C54" s="96" t="s">
        <v>171</v>
      </c>
      <c r="D54" s="96" t="s">
        <v>194</v>
      </c>
      <c r="E54" s="96" t="s">
        <v>195</v>
      </c>
      <c r="F54" s="96">
        <v>3</v>
      </c>
      <c r="G54" s="96">
        <v>2025.4</v>
      </c>
      <c r="H54" s="96">
        <v>9</v>
      </c>
      <c r="I54" s="96">
        <v>3</v>
      </c>
      <c r="J54" s="115" t="s">
        <v>153</v>
      </c>
      <c r="K54" s="116" t="s">
        <v>202</v>
      </c>
      <c r="L54" s="116" t="s">
        <v>203</v>
      </c>
      <c r="M54" s="45" t="s">
        <v>44</v>
      </c>
      <c r="N54" s="45" t="s">
        <v>45</v>
      </c>
      <c r="O54" s="118" t="s">
        <v>72</v>
      </c>
      <c r="P54" s="118" t="s">
        <v>73</v>
      </c>
      <c r="Q54" s="43"/>
      <c r="R54" s="43"/>
      <c r="S54" s="45"/>
    </row>
    <row r="55" s="82" customFormat="1" ht="27" hidden="1" spans="1:19">
      <c r="A55" s="33" t="s">
        <v>170</v>
      </c>
      <c r="B55" s="96" t="s">
        <v>63</v>
      </c>
      <c r="C55" s="96" t="s">
        <v>171</v>
      </c>
      <c r="D55" s="96" t="s">
        <v>194</v>
      </c>
      <c r="E55" s="96" t="s">
        <v>195</v>
      </c>
      <c r="F55" s="96">
        <v>3</v>
      </c>
      <c r="G55" s="96">
        <v>2025.4</v>
      </c>
      <c r="H55" s="96">
        <v>9</v>
      </c>
      <c r="I55" s="96">
        <v>3</v>
      </c>
      <c r="J55" s="115" t="s">
        <v>153</v>
      </c>
      <c r="K55" s="116" t="s">
        <v>204</v>
      </c>
      <c r="L55" s="116" t="s">
        <v>205</v>
      </c>
      <c r="M55" s="45" t="s">
        <v>44</v>
      </c>
      <c r="N55" s="45" t="s">
        <v>45</v>
      </c>
      <c r="O55" s="118" t="s">
        <v>72</v>
      </c>
      <c r="P55" s="118" t="s">
        <v>73</v>
      </c>
      <c r="Q55" s="43"/>
      <c r="R55" s="43"/>
      <c r="S55" s="45"/>
    </row>
    <row r="56" s="82" customFormat="1" ht="14.25" hidden="1" spans="1:19">
      <c r="A56" s="33" t="s">
        <v>170</v>
      </c>
      <c r="B56" s="33" t="s">
        <v>63</v>
      </c>
      <c r="C56" s="33" t="s">
        <v>171</v>
      </c>
      <c r="D56" s="33" t="s">
        <v>206</v>
      </c>
      <c r="E56" s="33" t="s">
        <v>207</v>
      </c>
      <c r="F56" s="33">
        <v>2</v>
      </c>
      <c r="G56" s="33">
        <v>2025.4</v>
      </c>
      <c r="H56" s="33">
        <v>18</v>
      </c>
      <c r="I56" s="33">
        <v>2</v>
      </c>
      <c r="J56" s="115" t="s">
        <v>153</v>
      </c>
      <c r="K56" s="116" t="s">
        <v>208</v>
      </c>
      <c r="L56" s="119"/>
      <c r="M56" s="117" t="s">
        <v>36</v>
      </c>
      <c r="N56" s="45" t="s">
        <v>160</v>
      </c>
      <c r="O56" s="118" t="s">
        <v>72</v>
      </c>
      <c r="P56" s="118" t="s">
        <v>73</v>
      </c>
      <c r="Q56" s="43"/>
      <c r="R56" s="43"/>
      <c r="S56" s="45"/>
    </row>
    <row r="57" s="82" customFormat="1" ht="27" hidden="1" spans="1:19">
      <c r="A57" s="33" t="s">
        <v>170</v>
      </c>
      <c r="B57" s="33" t="s">
        <v>63</v>
      </c>
      <c r="C57" s="33" t="s">
        <v>171</v>
      </c>
      <c r="D57" s="33" t="s">
        <v>206</v>
      </c>
      <c r="E57" s="33" t="s">
        <v>207</v>
      </c>
      <c r="F57" s="33">
        <v>2</v>
      </c>
      <c r="G57" s="33">
        <v>2025.4</v>
      </c>
      <c r="H57" s="33">
        <v>18</v>
      </c>
      <c r="I57" s="33">
        <v>2</v>
      </c>
      <c r="J57" s="115" t="s">
        <v>153</v>
      </c>
      <c r="K57" s="116" t="s">
        <v>209</v>
      </c>
      <c r="L57" s="116" t="s">
        <v>692</v>
      </c>
      <c r="M57" s="45" t="s">
        <v>52</v>
      </c>
      <c r="N57" s="45" t="s">
        <v>187</v>
      </c>
      <c r="O57" s="118" t="s">
        <v>72</v>
      </c>
      <c r="P57" s="118" t="s">
        <v>73</v>
      </c>
      <c r="Q57" s="43"/>
      <c r="R57" s="43"/>
      <c r="S57" s="45"/>
    </row>
    <row r="58" s="82" customFormat="1" ht="27" hidden="1" spans="1:19">
      <c r="A58" s="33" t="s">
        <v>170</v>
      </c>
      <c r="B58" s="33" t="s">
        <v>63</v>
      </c>
      <c r="C58" s="33" t="s">
        <v>171</v>
      </c>
      <c r="D58" s="33" t="s">
        <v>206</v>
      </c>
      <c r="E58" s="33" t="s">
        <v>207</v>
      </c>
      <c r="F58" s="33">
        <v>2</v>
      </c>
      <c r="G58" s="33">
        <v>2025.4</v>
      </c>
      <c r="H58" s="33">
        <v>18</v>
      </c>
      <c r="I58" s="33">
        <v>2</v>
      </c>
      <c r="J58" s="115" t="s">
        <v>153</v>
      </c>
      <c r="K58" s="116" t="s">
        <v>211</v>
      </c>
      <c r="L58" s="116" t="s">
        <v>212</v>
      </c>
      <c r="M58" s="45" t="s">
        <v>52</v>
      </c>
      <c r="N58" s="45" t="s">
        <v>187</v>
      </c>
      <c r="O58" s="118" t="s">
        <v>72</v>
      </c>
      <c r="P58" s="118" t="s">
        <v>73</v>
      </c>
      <c r="Q58" s="43"/>
      <c r="R58" s="43"/>
      <c r="S58" s="45"/>
    </row>
    <row r="59" s="82" customFormat="1" ht="27" hidden="1" spans="1:19">
      <c r="A59" s="33" t="s">
        <v>170</v>
      </c>
      <c r="B59" s="33" t="s">
        <v>63</v>
      </c>
      <c r="C59" s="33" t="s">
        <v>171</v>
      </c>
      <c r="D59" s="33" t="s">
        <v>206</v>
      </c>
      <c r="E59" s="33" t="s">
        <v>207</v>
      </c>
      <c r="F59" s="33">
        <v>2</v>
      </c>
      <c r="G59" s="33">
        <v>2025.4</v>
      </c>
      <c r="H59" s="33">
        <v>18</v>
      </c>
      <c r="I59" s="33">
        <v>2</v>
      </c>
      <c r="J59" s="115" t="s">
        <v>153</v>
      </c>
      <c r="K59" s="116" t="s">
        <v>213</v>
      </c>
      <c r="L59" s="116" t="s">
        <v>214</v>
      </c>
      <c r="M59" s="45" t="s">
        <v>52</v>
      </c>
      <c r="N59" s="45" t="s">
        <v>187</v>
      </c>
      <c r="O59" s="118" t="s">
        <v>72</v>
      </c>
      <c r="P59" s="118" t="s">
        <v>73</v>
      </c>
      <c r="Q59" s="43"/>
      <c r="R59" s="43"/>
      <c r="S59" s="45"/>
    </row>
    <row r="60" s="82" customFormat="1" ht="27" hidden="1" spans="1:19">
      <c r="A60" s="33" t="s">
        <v>170</v>
      </c>
      <c r="B60" s="33" t="s">
        <v>63</v>
      </c>
      <c r="C60" s="33" t="s">
        <v>171</v>
      </c>
      <c r="D60" s="33" t="s">
        <v>206</v>
      </c>
      <c r="E60" s="33" t="s">
        <v>207</v>
      </c>
      <c r="F60" s="33">
        <v>2</v>
      </c>
      <c r="G60" s="33">
        <v>2025.4</v>
      </c>
      <c r="H60" s="33">
        <v>18</v>
      </c>
      <c r="I60" s="33">
        <v>2</v>
      </c>
      <c r="J60" s="115" t="s">
        <v>153</v>
      </c>
      <c r="K60" s="116" t="s">
        <v>215</v>
      </c>
      <c r="L60" s="116" t="s">
        <v>216</v>
      </c>
      <c r="M60" s="117" t="s">
        <v>36</v>
      </c>
      <c r="N60" s="45" t="s">
        <v>160</v>
      </c>
      <c r="O60" s="118" t="s">
        <v>72</v>
      </c>
      <c r="P60" s="118" t="s">
        <v>73</v>
      </c>
      <c r="Q60" s="43"/>
      <c r="R60" s="43"/>
      <c r="S60" s="45"/>
    </row>
    <row r="61" s="83" customFormat="1" ht="28.5" hidden="1" spans="1:19">
      <c r="A61" s="97" t="s">
        <v>217</v>
      </c>
      <c r="B61" s="98" t="s">
        <v>21</v>
      </c>
      <c r="C61" s="98" t="s">
        <v>218</v>
      </c>
      <c r="D61" s="98" t="s">
        <v>219</v>
      </c>
      <c r="E61" s="98" t="s">
        <v>220</v>
      </c>
      <c r="F61" s="98">
        <v>8</v>
      </c>
      <c r="G61" s="98" t="s">
        <v>221</v>
      </c>
      <c r="H61" s="98">
        <v>31</v>
      </c>
      <c r="I61" s="98">
        <v>8</v>
      </c>
      <c r="J61" s="98" t="s">
        <v>25</v>
      </c>
      <c r="K61" s="120" t="s">
        <v>222</v>
      </c>
      <c r="L61" s="121"/>
      <c r="M61" s="122"/>
      <c r="N61" s="122"/>
      <c r="O61" s="123"/>
      <c r="P61" s="124"/>
      <c r="Q61" s="26"/>
      <c r="R61" s="26"/>
      <c r="S61" s="27"/>
    </row>
    <row r="62" s="2" customFormat="1" ht="27" hidden="1" spans="1:19">
      <c r="A62" s="34" t="s">
        <v>223</v>
      </c>
      <c r="B62" s="45" t="s">
        <v>21</v>
      </c>
      <c r="C62" s="45" t="s">
        <v>224</v>
      </c>
      <c r="D62" s="45" t="s">
        <v>225</v>
      </c>
      <c r="E62" s="45" t="s">
        <v>226</v>
      </c>
      <c r="F62" s="45">
        <v>3</v>
      </c>
      <c r="G62" s="45" t="s">
        <v>227</v>
      </c>
      <c r="H62" s="45">
        <v>13</v>
      </c>
      <c r="I62" s="45">
        <v>3</v>
      </c>
      <c r="J62" s="125" t="s">
        <v>153</v>
      </c>
      <c r="K62" s="116" t="s">
        <v>228</v>
      </c>
      <c r="L62" s="116" t="s">
        <v>229</v>
      </c>
      <c r="M62" s="116" t="s">
        <v>230</v>
      </c>
      <c r="N62" s="116" t="s">
        <v>231</v>
      </c>
      <c r="O62" s="126" t="s">
        <v>72</v>
      </c>
      <c r="P62" s="126" t="s">
        <v>73</v>
      </c>
      <c r="Q62" s="43"/>
      <c r="R62" s="43"/>
      <c r="S62" s="45"/>
    </row>
    <row r="63" s="2" customFormat="1" ht="27" hidden="1" spans="1:19">
      <c r="A63" s="34" t="s">
        <v>223</v>
      </c>
      <c r="B63" s="99"/>
      <c r="C63" s="99"/>
      <c r="D63" s="99"/>
      <c r="E63" s="99"/>
      <c r="F63" s="99"/>
      <c r="G63" s="99"/>
      <c r="H63" s="99"/>
      <c r="I63" s="99"/>
      <c r="J63" s="125" t="s">
        <v>153</v>
      </c>
      <c r="K63" s="127" t="s">
        <v>232</v>
      </c>
      <c r="L63" s="127" t="s">
        <v>233</v>
      </c>
      <c r="M63" s="127" t="s">
        <v>28</v>
      </c>
      <c r="N63" s="127" t="s">
        <v>29</v>
      </c>
      <c r="O63" s="126" t="s">
        <v>72</v>
      </c>
      <c r="P63" s="126" t="s">
        <v>73</v>
      </c>
      <c r="Q63" s="44"/>
      <c r="R63" s="44"/>
      <c r="S63" s="99"/>
    </row>
    <row r="64" s="2" customFormat="1" ht="24" spans="1:19">
      <c r="A64" s="24" t="s">
        <v>223</v>
      </c>
      <c r="B64" s="24" t="s">
        <v>63</v>
      </c>
      <c r="C64" s="24" t="s">
        <v>234</v>
      </c>
      <c r="D64" s="24" t="s">
        <v>235</v>
      </c>
      <c r="E64" s="24" t="s">
        <v>236</v>
      </c>
      <c r="F64" s="24">
        <v>1</v>
      </c>
      <c r="G64" s="24">
        <v>2023.12</v>
      </c>
      <c r="H64" s="24">
        <v>5</v>
      </c>
      <c r="I64" s="24">
        <v>1</v>
      </c>
      <c r="J64" s="13" t="s">
        <v>153</v>
      </c>
      <c r="K64" s="19" t="s">
        <v>237</v>
      </c>
      <c r="L64" s="19" t="s">
        <v>238</v>
      </c>
      <c r="M64" s="19" t="s">
        <v>70</v>
      </c>
      <c r="N64" s="19" t="s">
        <v>71</v>
      </c>
      <c r="O64" s="13" t="s">
        <v>72</v>
      </c>
      <c r="P64" s="13" t="s">
        <v>73</v>
      </c>
      <c r="Q64" s="14"/>
      <c r="R64" s="14"/>
      <c r="S64" s="15"/>
    </row>
    <row r="65" s="2" customFormat="1" ht="36" spans="1:19">
      <c r="A65" s="24" t="s">
        <v>223</v>
      </c>
      <c r="B65" s="24" t="s">
        <v>63</v>
      </c>
      <c r="C65" s="24" t="s">
        <v>234</v>
      </c>
      <c r="D65" s="24" t="s">
        <v>239</v>
      </c>
      <c r="E65" s="24" t="s">
        <v>240</v>
      </c>
      <c r="F65" s="24">
        <v>3</v>
      </c>
      <c r="G65" s="24">
        <v>2024.12</v>
      </c>
      <c r="H65" s="24">
        <v>11</v>
      </c>
      <c r="I65" s="24">
        <v>3</v>
      </c>
      <c r="J65" s="13" t="s">
        <v>153</v>
      </c>
      <c r="K65" s="19" t="s">
        <v>419</v>
      </c>
      <c r="L65" s="19" t="s">
        <v>693</v>
      </c>
      <c r="M65" s="19" t="s">
        <v>70</v>
      </c>
      <c r="N65" s="19" t="s">
        <v>71</v>
      </c>
      <c r="O65" s="13" t="s">
        <v>72</v>
      </c>
      <c r="P65" s="13" t="s">
        <v>73</v>
      </c>
      <c r="Q65" s="14"/>
      <c r="R65" s="14"/>
      <c r="S65" s="15"/>
    </row>
    <row r="66" s="2" customFormat="1" ht="72" spans="1:19">
      <c r="A66" s="24" t="s">
        <v>223</v>
      </c>
      <c r="B66" s="24" t="s">
        <v>63</v>
      </c>
      <c r="C66" s="24" t="s">
        <v>234</v>
      </c>
      <c r="D66" s="24" t="s">
        <v>239</v>
      </c>
      <c r="E66" s="24" t="s">
        <v>240</v>
      </c>
      <c r="F66" s="24">
        <v>3</v>
      </c>
      <c r="G66" s="24">
        <v>2024.12</v>
      </c>
      <c r="H66" s="24">
        <v>11</v>
      </c>
      <c r="I66" s="24">
        <v>3</v>
      </c>
      <c r="J66" s="13" t="s">
        <v>153</v>
      </c>
      <c r="K66" s="19" t="s">
        <v>421</v>
      </c>
      <c r="L66" s="19" t="s">
        <v>422</v>
      </c>
      <c r="M66" s="19" t="s">
        <v>694</v>
      </c>
      <c r="N66" s="19" t="s">
        <v>246</v>
      </c>
      <c r="O66" s="13" t="s">
        <v>72</v>
      </c>
      <c r="P66" s="13" t="s">
        <v>73</v>
      </c>
      <c r="Q66" s="14"/>
      <c r="R66" s="14"/>
      <c r="S66" s="15"/>
    </row>
    <row r="67" s="2" customFormat="1" ht="24" spans="1:19">
      <c r="A67" s="24" t="s">
        <v>223</v>
      </c>
      <c r="B67" s="24" t="s">
        <v>63</v>
      </c>
      <c r="C67" s="24" t="s">
        <v>234</v>
      </c>
      <c r="D67" s="24" t="s">
        <v>239</v>
      </c>
      <c r="E67" s="24" t="s">
        <v>240</v>
      </c>
      <c r="F67" s="24">
        <v>3</v>
      </c>
      <c r="G67" s="24">
        <v>2024.12</v>
      </c>
      <c r="H67" s="24">
        <v>11</v>
      </c>
      <c r="I67" s="24">
        <v>3</v>
      </c>
      <c r="J67" s="13" t="s">
        <v>153</v>
      </c>
      <c r="K67" s="19" t="s">
        <v>247</v>
      </c>
      <c r="L67" s="19" t="s">
        <v>248</v>
      </c>
      <c r="M67" s="19" t="s">
        <v>694</v>
      </c>
      <c r="N67" s="19" t="s">
        <v>246</v>
      </c>
      <c r="O67" s="13" t="s">
        <v>72</v>
      </c>
      <c r="P67" s="13" t="s">
        <v>73</v>
      </c>
      <c r="Q67" s="14"/>
      <c r="R67" s="14"/>
      <c r="S67" s="15"/>
    </row>
    <row r="68" s="2" customFormat="1" ht="24" spans="1:19">
      <c r="A68" s="24" t="s">
        <v>223</v>
      </c>
      <c r="B68" s="24" t="s">
        <v>63</v>
      </c>
      <c r="C68" s="24" t="s">
        <v>234</v>
      </c>
      <c r="D68" s="24" t="s">
        <v>239</v>
      </c>
      <c r="E68" s="24" t="s">
        <v>240</v>
      </c>
      <c r="F68" s="24">
        <v>3</v>
      </c>
      <c r="G68" s="24">
        <v>2024.12</v>
      </c>
      <c r="H68" s="24">
        <v>11</v>
      </c>
      <c r="I68" s="24">
        <v>3</v>
      </c>
      <c r="J68" s="13" t="s">
        <v>153</v>
      </c>
      <c r="K68" s="19" t="s">
        <v>247</v>
      </c>
      <c r="L68" s="19" t="s">
        <v>248</v>
      </c>
      <c r="M68" s="19" t="s">
        <v>694</v>
      </c>
      <c r="N68" s="19" t="s">
        <v>246</v>
      </c>
      <c r="O68" s="13" t="s">
        <v>72</v>
      </c>
      <c r="P68" s="13" t="s">
        <v>73</v>
      </c>
      <c r="Q68" s="14"/>
      <c r="R68" s="14"/>
      <c r="S68" s="15"/>
    </row>
    <row r="69" s="2" customFormat="1" ht="36" spans="1:19">
      <c r="A69" s="24" t="s">
        <v>223</v>
      </c>
      <c r="B69" s="24" t="s">
        <v>63</v>
      </c>
      <c r="C69" s="24" t="s">
        <v>234</v>
      </c>
      <c r="D69" s="24" t="s">
        <v>249</v>
      </c>
      <c r="E69" s="14" t="s">
        <v>250</v>
      </c>
      <c r="F69" s="24">
        <v>1</v>
      </c>
      <c r="G69" s="24">
        <v>2025.2</v>
      </c>
      <c r="H69" s="24">
        <v>28</v>
      </c>
      <c r="I69" s="24">
        <v>1</v>
      </c>
      <c r="J69" s="13" t="s">
        <v>153</v>
      </c>
      <c r="K69" s="19" t="s">
        <v>251</v>
      </c>
      <c r="L69" s="19" t="s">
        <v>252</v>
      </c>
      <c r="M69" s="19" t="s">
        <v>694</v>
      </c>
      <c r="N69" s="19" t="s">
        <v>253</v>
      </c>
      <c r="O69" s="13" t="s">
        <v>72</v>
      </c>
      <c r="P69" s="13" t="s">
        <v>73</v>
      </c>
      <c r="Q69" s="14"/>
      <c r="R69" s="14"/>
      <c r="S69" s="15"/>
    </row>
    <row r="70" s="2" customFormat="1" ht="27" hidden="1" spans="1:19">
      <c r="A70" s="130" t="s">
        <v>254</v>
      </c>
      <c r="B70" s="130" t="s">
        <v>21</v>
      </c>
      <c r="C70" s="130" t="s">
        <v>255</v>
      </c>
      <c r="D70" s="130" t="s">
        <v>256</v>
      </c>
      <c r="E70" s="130" t="s">
        <v>257</v>
      </c>
      <c r="F70" s="130">
        <v>1</v>
      </c>
      <c r="G70" s="130">
        <v>2024.1</v>
      </c>
      <c r="H70" s="130">
        <v>25</v>
      </c>
      <c r="I70" s="130">
        <v>1</v>
      </c>
      <c r="J70" s="35" t="s">
        <v>25</v>
      </c>
      <c r="K70" s="113" t="s">
        <v>258</v>
      </c>
      <c r="L70" s="113" t="s">
        <v>259</v>
      </c>
      <c r="M70" s="134" t="s">
        <v>132</v>
      </c>
      <c r="N70" s="135" t="s">
        <v>260</v>
      </c>
      <c r="O70" s="136" t="s">
        <v>72</v>
      </c>
      <c r="P70" s="136" t="s">
        <v>73</v>
      </c>
      <c r="Q70" s="128"/>
      <c r="R70" s="128"/>
      <c r="S70" s="106"/>
    </row>
    <row r="71" s="2" customFormat="1" ht="27" hidden="1" spans="1:19">
      <c r="A71" s="34" t="s">
        <v>254</v>
      </c>
      <c r="B71" s="130" t="s">
        <v>21</v>
      </c>
      <c r="C71" s="130" t="s">
        <v>255</v>
      </c>
      <c r="D71" s="130" t="s">
        <v>256</v>
      </c>
      <c r="E71" s="130" t="s">
        <v>257</v>
      </c>
      <c r="F71" s="130">
        <v>1</v>
      </c>
      <c r="G71" s="130">
        <v>2024.1</v>
      </c>
      <c r="H71" s="130">
        <v>25</v>
      </c>
      <c r="I71" s="130">
        <v>1</v>
      </c>
      <c r="J71" s="35" t="s">
        <v>25</v>
      </c>
      <c r="K71" s="116" t="s">
        <v>261</v>
      </c>
      <c r="L71" s="116" t="s">
        <v>262</v>
      </c>
      <c r="M71" s="117" t="s">
        <v>132</v>
      </c>
      <c r="N71" s="137" t="s">
        <v>260</v>
      </c>
      <c r="O71" s="41" t="s">
        <v>72</v>
      </c>
      <c r="P71" s="41" t="s">
        <v>73</v>
      </c>
      <c r="Q71" s="43"/>
      <c r="R71" s="43"/>
      <c r="S71" s="45"/>
    </row>
    <row r="72" s="2" customFormat="1" ht="27" hidden="1" spans="1:19">
      <c r="A72" s="34" t="s">
        <v>254</v>
      </c>
      <c r="B72" s="130" t="s">
        <v>21</v>
      </c>
      <c r="C72" s="130" t="s">
        <v>255</v>
      </c>
      <c r="D72" s="130" t="s">
        <v>256</v>
      </c>
      <c r="E72" s="130" t="s">
        <v>257</v>
      </c>
      <c r="F72" s="130">
        <v>1</v>
      </c>
      <c r="G72" s="130">
        <v>2024.1</v>
      </c>
      <c r="H72" s="130">
        <v>25</v>
      </c>
      <c r="I72" s="130">
        <v>1</v>
      </c>
      <c r="J72" s="35" t="s">
        <v>25</v>
      </c>
      <c r="K72" s="116" t="s">
        <v>263</v>
      </c>
      <c r="L72" s="116" t="s">
        <v>264</v>
      </c>
      <c r="M72" s="117" t="s">
        <v>84</v>
      </c>
      <c r="N72" s="137" t="s">
        <v>84</v>
      </c>
      <c r="O72" s="41" t="s">
        <v>72</v>
      </c>
      <c r="P72" s="41" t="s">
        <v>73</v>
      </c>
      <c r="Q72" s="43"/>
      <c r="R72" s="43"/>
      <c r="S72" s="45"/>
    </row>
    <row r="73" s="2" customFormat="1" ht="27" hidden="1" spans="1:19">
      <c r="A73" s="34" t="s">
        <v>254</v>
      </c>
      <c r="B73" s="130" t="s">
        <v>21</v>
      </c>
      <c r="C73" s="130" t="s">
        <v>255</v>
      </c>
      <c r="D73" s="130" t="s">
        <v>256</v>
      </c>
      <c r="E73" s="130" t="s">
        <v>257</v>
      </c>
      <c r="F73" s="130">
        <v>1</v>
      </c>
      <c r="G73" s="130">
        <v>2024.1</v>
      </c>
      <c r="H73" s="130">
        <v>25</v>
      </c>
      <c r="I73" s="130">
        <v>1</v>
      </c>
      <c r="J73" s="35" t="s">
        <v>25</v>
      </c>
      <c r="K73" s="116" t="s">
        <v>265</v>
      </c>
      <c r="L73" s="116" t="s">
        <v>266</v>
      </c>
      <c r="M73" s="117" t="s">
        <v>84</v>
      </c>
      <c r="N73" s="137" t="s">
        <v>84</v>
      </c>
      <c r="O73" s="41" t="s">
        <v>72</v>
      </c>
      <c r="P73" s="41" t="s">
        <v>73</v>
      </c>
      <c r="Q73" s="43"/>
      <c r="R73" s="43"/>
      <c r="S73" s="45"/>
    </row>
    <row r="74" s="2" customFormat="1" ht="27" hidden="1" spans="1:19">
      <c r="A74" s="34" t="s">
        <v>254</v>
      </c>
      <c r="B74" s="130" t="s">
        <v>21</v>
      </c>
      <c r="C74" s="130" t="s">
        <v>255</v>
      </c>
      <c r="D74" s="130" t="s">
        <v>256</v>
      </c>
      <c r="E74" s="130" t="s">
        <v>257</v>
      </c>
      <c r="F74" s="130">
        <v>1</v>
      </c>
      <c r="G74" s="130">
        <v>2024.1</v>
      </c>
      <c r="H74" s="130">
        <v>25</v>
      </c>
      <c r="I74" s="130">
        <v>1</v>
      </c>
      <c r="J74" s="35" t="s">
        <v>25</v>
      </c>
      <c r="K74" s="127" t="s">
        <v>267</v>
      </c>
      <c r="L74" s="127" t="s">
        <v>268</v>
      </c>
      <c r="M74" s="138" t="s">
        <v>52</v>
      </c>
      <c r="N74" s="139" t="s">
        <v>269</v>
      </c>
      <c r="O74" s="126" t="s">
        <v>72</v>
      </c>
      <c r="P74" s="126" t="s">
        <v>73</v>
      </c>
      <c r="Q74" s="44"/>
      <c r="R74" s="44"/>
      <c r="S74" s="99"/>
    </row>
    <row r="75" s="2" customFormat="1" spans="1:19">
      <c r="A75" s="24" t="s">
        <v>254</v>
      </c>
      <c r="B75" s="24" t="s">
        <v>63</v>
      </c>
      <c r="C75" s="24" t="s">
        <v>270</v>
      </c>
      <c r="D75" s="24" t="s">
        <v>271</v>
      </c>
      <c r="E75" s="14" t="s">
        <v>272</v>
      </c>
      <c r="F75" s="24">
        <v>1</v>
      </c>
      <c r="G75" s="24">
        <v>2023.8</v>
      </c>
      <c r="H75" s="24">
        <v>30</v>
      </c>
      <c r="I75" s="24">
        <v>1</v>
      </c>
      <c r="J75" s="24" t="s">
        <v>153</v>
      </c>
      <c r="K75" s="15" t="s">
        <v>273</v>
      </c>
      <c r="L75" s="19" t="s">
        <v>274</v>
      </c>
      <c r="M75" s="79" t="s">
        <v>70</v>
      </c>
      <c r="N75" s="19" t="s">
        <v>71</v>
      </c>
      <c r="O75" s="13" t="s">
        <v>72</v>
      </c>
      <c r="P75" s="13" t="s">
        <v>73</v>
      </c>
      <c r="Q75" s="14"/>
      <c r="R75" s="14"/>
      <c r="S75" s="15"/>
    </row>
    <row r="76" s="2" customFormat="1" hidden="1" spans="1:19">
      <c r="A76" s="130" t="s">
        <v>254</v>
      </c>
      <c r="B76" s="131" t="s">
        <v>63</v>
      </c>
      <c r="C76" s="131" t="s">
        <v>275</v>
      </c>
      <c r="D76" s="131" t="s">
        <v>276</v>
      </c>
      <c r="E76" s="132" t="s">
        <v>277</v>
      </c>
      <c r="F76" s="131">
        <v>1</v>
      </c>
      <c r="G76" s="131">
        <v>2024.1</v>
      </c>
      <c r="H76" s="131">
        <v>4</v>
      </c>
      <c r="I76" s="131">
        <v>1</v>
      </c>
      <c r="J76" s="35" t="s">
        <v>278</v>
      </c>
      <c r="K76" s="113" t="s">
        <v>279</v>
      </c>
      <c r="L76" s="113" t="s">
        <v>280</v>
      </c>
      <c r="M76" s="134" t="s">
        <v>52</v>
      </c>
      <c r="N76" s="135" t="s">
        <v>187</v>
      </c>
      <c r="O76" s="136" t="s">
        <v>72</v>
      </c>
      <c r="P76" s="136" t="s">
        <v>73</v>
      </c>
      <c r="Q76" s="128"/>
      <c r="R76" s="128"/>
      <c r="S76" s="106"/>
    </row>
    <row r="77" s="2" customFormat="1" hidden="1" spans="1:19">
      <c r="A77" s="34" t="s">
        <v>254</v>
      </c>
      <c r="B77" s="35" t="s">
        <v>21</v>
      </c>
      <c r="C77" s="35" t="s">
        <v>281</v>
      </c>
      <c r="D77" s="35" t="s">
        <v>282</v>
      </c>
      <c r="E77" s="35" t="s">
        <v>283</v>
      </c>
      <c r="F77" s="35">
        <v>6</v>
      </c>
      <c r="G77" s="35">
        <v>2025.4</v>
      </c>
      <c r="H77" s="35">
        <v>22</v>
      </c>
      <c r="I77" s="35">
        <v>6</v>
      </c>
      <c r="J77" s="35" t="s">
        <v>25</v>
      </c>
      <c r="K77" s="140" t="s">
        <v>284</v>
      </c>
      <c r="L77" s="140" t="s">
        <v>285</v>
      </c>
      <c r="M77" s="140" t="s">
        <v>28</v>
      </c>
      <c r="N77" s="141" t="s">
        <v>176</v>
      </c>
      <c r="O77" s="41" t="s">
        <v>72</v>
      </c>
      <c r="P77" s="41" t="s">
        <v>73</v>
      </c>
      <c r="Q77" s="43"/>
      <c r="R77" s="43"/>
      <c r="S77" s="45"/>
    </row>
    <row r="78" s="2" customFormat="1" hidden="1" spans="1:19">
      <c r="A78" s="34" t="s">
        <v>254</v>
      </c>
      <c r="B78" s="35" t="s">
        <v>21</v>
      </c>
      <c r="C78" s="35" t="s">
        <v>281</v>
      </c>
      <c r="D78" s="35" t="s">
        <v>282</v>
      </c>
      <c r="E78" s="35" t="s">
        <v>283</v>
      </c>
      <c r="F78" s="35">
        <v>6</v>
      </c>
      <c r="G78" s="35">
        <v>2025.4</v>
      </c>
      <c r="H78" s="35">
        <v>22</v>
      </c>
      <c r="I78" s="35">
        <v>6</v>
      </c>
      <c r="J78" s="35" t="s">
        <v>25</v>
      </c>
      <c r="K78" s="142" t="s">
        <v>286</v>
      </c>
      <c r="L78" s="142" t="s">
        <v>287</v>
      </c>
      <c r="M78" s="142" t="s">
        <v>52</v>
      </c>
      <c r="N78" s="143" t="s">
        <v>53</v>
      </c>
      <c r="O78" s="126" t="s">
        <v>72</v>
      </c>
      <c r="P78" s="126" t="s">
        <v>73</v>
      </c>
      <c r="Q78" s="44"/>
      <c r="R78" s="44"/>
      <c r="S78" s="99"/>
    </row>
    <row r="79" s="2" customFormat="1" spans="1:19">
      <c r="A79" s="24" t="s">
        <v>254</v>
      </c>
      <c r="B79" s="24" t="s">
        <v>21</v>
      </c>
      <c r="C79" s="24" t="s">
        <v>281</v>
      </c>
      <c r="D79" s="24" t="s">
        <v>282</v>
      </c>
      <c r="E79" s="24" t="s">
        <v>283</v>
      </c>
      <c r="F79" s="24">
        <v>6</v>
      </c>
      <c r="G79" s="24">
        <v>2025.4</v>
      </c>
      <c r="H79" s="24">
        <v>22</v>
      </c>
      <c r="I79" s="24">
        <v>6</v>
      </c>
      <c r="J79" s="24" t="s">
        <v>25</v>
      </c>
      <c r="K79" s="19" t="s">
        <v>288</v>
      </c>
      <c r="L79" s="19" t="s">
        <v>289</v>
      </c>
      <c r="M79" s="19" t="s">
        <v>70</v>
      </c>
      <c r="N79" s="19" t="s">
        <v>71</v>
      </c>
      <c r="O79" s="13" t="s">
        <v>72</v>
      </c>
      <c r="P79" s="13" t="s">
        <v>73</v>
      </c>
      <c r="Q79" s="14"/>
      <c r="R79" s="14"/>
      <c r="S79" s="15"/>
    </row>
    <row r="80" s="2" customFormat="1" ht="27" hidden="1" spans="1:19">
      <c r="A80" s="130" t="s">
        <v>254</v>
      </c>
      <c r="B80" s="35" t="s">
        <v>21</v>
      </c>
      <c r="C80" s="35" t="s">
        <v>281</v>
      </c>
      <c r="D80" s="35" t="s">
        <v>282</v>
      </c>
      <c r="E80" s="35" t="s">
        <v>283</v>
      </c>
      <c r="F80" s="35">
        <v>6</v>
      </c>
      <c r="G80" s="35">
        <v>2025.4</v>
      </c>
      <c r="H80" s="35">
        <v>22</v>
      </c>
      <c r="I80" s="35">
        <v>6</v>
      </c>
      <c r="J80" s="35" t="s">
        <v>25</v>
      </c>
      <c r="K80" s="144" t="s">
        <v>290</v>
      </c>
      <c r="L80" s="144" t="s">
        <v>291</v>
      </c>
      <c r="M80" s="144" t="s">
        <v>36</v>
      </c>
      <c r="N80" s="145" t="s">
        <v>160</v>
      </c>
      <c r="O80" s="136" t="s">
        <v>72</v>
      </c>
      <c r="P80" s="136" t="s">
        <v>73</v>
      </c>
      <c r="Q80" s="128"/>
      <c r="R80" s="128"/>
      <c r="S80" s="106"/>
    </row>
    <row r="81" s="2" customFormat="1" hidden="1" spans="1:19">
      <c r="A81" s="34" t="s">
        <v>254</v>
      </c>
      <c r="B81" s="35" t="s">
        <v>21</v>
      </c>
      <c r="C81" s="35" t="s">
        <v>281</v>
      </c>
      <c r="D81" s="35" t="s">
        <v>282</v>
      </c>
      <c r="E81" s="35" t="s">
        <v>283</v>
      </c>
      <c r="F81" s="35">
        <v>6</v>
      </c>
      <c r="G81" s="35">
        <v>2025.4</v>
      </c>
      <c r="H81" s="35">
        <v>22</v>
      </c>
      <c r="I81" s="35">
        <v>6</v>
      </c>
      <c r="J81" s="35" t="s">
        <v>25</v>
      </c>
      <c r="K81" s="39" t="s">
        <v>292</v>
      </c>
      <c r="L81" s="39" t="s">
        <v>293</v>
      </c>
      <c r="M81" s="39" t="s">
        <v>28</v>
      </c>
      <c r="N81" s="40" t="s">
        <v>29</v>
      </c>
      <c r="O81" s="41" t="s">
        <v>72</v>
      </c>
      <c r="P81" s="41" t="s">
        <v>73</v>
      </c>
      <c r="Q81" s="43"/>
      <c r="R81" s="43"/>
      <c r="S81" s="45"/>
    </row>
    <row r="82" s="2" customFormat="1" hidden="1" spans="1:19">
      <c r="A82" s="34" t="s">
        <v>254</v>
      </c>
      <c r="B82" s="35" t="s">
        <v>21</v>
      </c>
      <c r="C82" s="35" t="s">
        <v>281</v>
      </c>
      <c r="D82" s="35" t="s">
        <v>282</v>
      </c>
      <c r="E82" s="35" t="s">
        <v>283</v>
      </c>
      <c r="F82" s="35">
        <v>6</v>
      </c>
      <c r="G82" s="35">
        <v>2025.4</v>
      </c>
      <c r="H82" s="35">
        <v>22</v>
      </c>
      <c r="I82" s="35">
        <v>6</v>
      </c>
      <c r="J82" s="35" t="s">
        <v>25</v>
      </c>
      <c r="K82" s="39" t="s">
        <v>294</v>
      </c>
      <c r="L82" s="39" t="s">
        <v>295</v>
      </c>
      <c r="M82" s="39" t="s">
        <v>28</v>
      </c>
      <c r="N82" s="40" t="s">
        <v>29</v>
      </c>
      <c r="O82" s="41" t="s">
        <v>72</v>
      </c>
      <c r="P82" s="41" t="s">
        <v>73</v>
      </c>
      <c r="Q82" s="43"/>
      <c r="R82" s="43"/>
      <c r="S82" s="45"/>
    </row>
    <row r="83" s="2" customFormat="1" hidden="1" spans="1:19">
      <c r="A83" s="34" t="s">
        <v>254</v>
      </c>
      <c r="B83" s="35" t="s">
        <v>21</v>
      </c>
      <c r="C83" s="35" t="s">
        <v>281</v>
      </c>
      <c r="D83" s="35" t="s">
        <v>282</v>
      </c>
      <c r="E83" s="35" t="s">
        <v>283</v>
      </c>
      <c r="F83" s="35">
        <v>6</v>
      </c>
      <c r="G83" s="35">
        <v>2025.4</v>
      </c>
      <c r="H83" s="35">
        <v>22</v>
      </c>
      <c r="I83" s="35">
        <v>6</v>
      </c>
      <c r="J83" s="35" t="s">
        <v>25</v>
      </c>
      <c r="K83" s="39" t="s">
        <v>296</v>
      </c>
      <c r="L83" s="39" t="s">
        <v>297</v>
      </c>
      <c r="M83" s="39" t="s">
        <v>298</v>
      </c>
      <c r="N83" s="40" t="s">
        <v>299</v>
      </c>
      <c r="O83" s="41" t="s">
        <v>72</v>
      </c>
      <c r="P83" s="41" t="s">
        <v>73</v>
      </c>
      <c r="Q83" s="43"/>
      <c r="R83" s="43"/>
      <c r="S83" s="45"/>
    </row>
    <row r="84" s="2" customFormat="1" ht="27" hidden="1" spans="1:19">
      <c r="A84" s="34" t="s">
        <v>254</v>
      </c>
      <c r="B84" s="35" t="s">
        <v>21</v>
      </c>
      <c r="C84" s="35" t="s">
        <v>281</v>
      </c>
      <c r="D84" s="35" t="s">
        <v>282</v>
      </c>
      <c r="E84" s="35" t="s">
        <v>283</v>
      </c>
      <c r="F84" s="35">
        <v>6</v>
      </c>
      <c r="G84" s="35">
        <v>2025.4</v>
      </c>
      <c r="H84" s="35">
        <v>22</v>
      </c>
      <c r="I84" s="35">
        <v>6</v>
      </c>
      <c r="J84" s="35" t="s">
        <v>25</v>
      </c>
      <c r="K84" s="39" t="s">
        <v>300</v>
      </c>
      <c r="L84" s="39" t="s">
        <v>301</v>
      </c>
      <c r="M84" s="39" t="s">
        <v>36</v>
      </c>
      <c r="N84" s="40" t="s">
        <v>160</v>
      </c>
      <c r="O84" s="41" t="s">
        <v>72</v>
      </c>
      <c r="P84" s="41" t="s">
        <v>73</v>
      </c>
      <c r="Q84" s="43"/>
      <c r="R84" s="43"/>
      <c r="S84" s="45"/>
    </row>
    <row r="85" s="2" customFormat="1" ht="27" hidden="1" spans="1:19">
      <c r="A85" s="34" t="s">
        <v>254</v>
      </c>
      <c r="B85" s="35" t="s">
        <v>21</v>
      </c>
      <c r="C85" s="35" t="s">
        <v>281</v>
      </c>
      <c r="D85" s="35" t="s">
        <v>282</v>
      </c>
      <c r="E85" s="35" t="s">
        <v>283</v>
      </c>
      <c r="F85" s="35">
        <v>6</v>
      </c>
      <c r="G85" s="35">
        <v>2025.4</v>
      </c>
      <c r="H85" s="35">
        <v>22</v>
      </c>
      <c r="I85" s="35">
        <v>6</v>
      </c>
      <c r="J85" s="35" t="s">
        <v>25</v>
      </c>
      <c r="K85" s="39" t="s">
        <v>302</v>
      </c>
      <c r="L85" s="39" t="s">
        <v>303</v>
      </c>
      <c r="M85" s="39" t="s">
        <v>36</v>
      </c>
      <c r="N85" s="40" t="s">
        <v>160</v>
      </c>
      <c r="O85" s="41" t="s">
        <v>72</v>
      </c>
      <c r="P85" s="41" t="s">
        <v>73</v>
      </c>
      <c r="Q85" s="43"/>
      <c r="R85" s="43"/>
      <c r="S85" s="45"/>
    </row>
    <row r="86" s="2" customFormat="1" ht="27" hidden="1" spans="1:19">
      <c r="A86" s="43" t="s">
        <v>304</v>
      </c>
      <c r="B86" s="133" t="s">
        <v>305</v>
      </c>
      <c r="C86" s="133"/>
      <c r="D86" s="133"/>
      <c r="E86" s="133"/>
      <c r="F86" s="133"/>
      <c r="G86" s="133"/>
      <c r="H86" s="133"/>
      <c r="I86" s="133"/>
      <c r="J86" s="133"/>
      <c r="K86" s="146" t="s">
        <v>306</v>
      </c>
      <c r="L86" s="147" t="s">
        <v>307</v>
      </c>
      <c r="M86" s="106" t="s">
        <v>308</v>
      </c>
      <c r="N86" s="106" t="s">
        <v>309</v>
      </c>
      <c r="O86" s="128" t="s">
        <v>310</v>
      </c>
      <c r="P86" s="128"/>
      <c r="Q86" s="128"/>
      <c r="R86" s="128"/>
      <c r="S86" s="106"/>
    </row>
    <row r="87" s="2" customFormat="1" ht="27" hidden="1" spans="1:19">
      <c r="A87" s="43" t="s">
        <v>311</v>
      </c>
      <c r="B87" s="133" t="s">
        <v>312</v>
      </c>
      <c r="C87" s="133"/>
      <c r="D87" s="133"/>
      <c r="E87" s="133"/>
      <c r="F87" s="133"/>
      <c r="G87" s="133"/>
      <c r="H87" s="133"/>
      <c r="I87" s="133"/>
      <c r="J87" s="133"/>
      <c r="K87" s="146"/>
      <c r="L87" s="147"/>
      <c r="M87" s="106"/>
      <c r="N87" s="106"/>
      <c r="O87" s="129"/>
      <c r="P87" s="129"/>
      <c r="Q87" s="128"/>
      <c r="R87" s="128"/>
      <c r="S87" s="106"/>
    </row>
    <row r="88" s="2" customFormat="1" ht="27" hidden="1" spans="1:19">
      <c r="A88" s="130" t="s">
        <v>313</v>
      </c>
      <c r="B88" s="130" t="s">
        <v>21</v>
      </c>
      <c r="C88" s="130" t="s">
        <v>314</v>
      </c>
      <c r="D88" s="130" t="s">
        <v>315</v>
      </c>
      <c r="E88" s="130" t="s">
        <v>316</v>
      </c>
      <c r="F88" s="130">
        <v>2</v>
      </c>
      <c r="G88" s="130">
        <v>2024.7</v>
      </c>
      <c r="H88" s="130">
        <v>30</v>
      </c>
      <c r="I88" s="130">
        <v>2</v>
      </c>
      <c r="J88" s="82" t="s">
        <v>67</v>
      </c>
      <c r="K88" s="148" t="s">
        <v>317</v>
      </c>
      <c r="L88" s="116" t="s">
        <v>318</v>
      </c>
      <c r="M88" s="116" t="s">
        <v>52</v>
      </c>
      <c r="N88" s="116" t="s">
        <v>187</v>
      </c>
      <c r="O88" s="149" t="s">
        <v>72</v>
      </c>
      <c r="P88" s="149" t="s">
        <v>73</v>
      </c>
      <c r="Q88" s="43"/>
      <c r="R88" s="43"/>
      <c r="S88" s="45"/>
    </row>
    <row r="89" s="2" customFormat="1" ht="48" hidden="1" customHeight="1" spans="1:19">
      <c r="A89" s="130" t="s">
        <v>313</v>
      </c>
      <c r="B89" s="130" t="s">
        <v>21</v>
      </c>
      <c r="C89" s="130" t="s">
        <v>314</v>
      </c>
      <c r="D89" s="130" t="s">
        <v>315</v>
      </c>
      <c r="E89" s="130" t="s">
        <v>316</v>
      </c>
      <c r="F89" s="130">
        <v>2</v>
      </c>
      <c r="G89" s="130">
        <v>2024.7</v>
      </c>
      <c r="H89" s="130">
        <v>30</v>
      </c>
      <c r="I89" s="130">
        <v>2</v>
      </c>
      <c r="J89" s="82" t="s">
        <v>67</v>
      </c>
      <c r="K89" s="148" t="s">
        <v>317</v>
      </c>
      <c r="L89" s="116" t="s">
        <v>319</v>
      </c>
      <c r="M89" s="116" t="s">
        <v>36</v>
      </c>
      <c r="N89" s="116" t="s">
        <v>160</v>
      </c>
      <c r="O89" s="149" t="s">
        <v>72</v>
      </c>
      <c r="P89" s="149" t="s">
        <v>73</v>
      </c>
      <c r="Q89" s="43"/>
      <c r="R89" s="43"/>
      <c r="S89" s="45"/>
    </row>
    <row r="90" s="2" customFormat="1" ht="40.5" hidden="1" spans="1:19">
      <c r="A90" s="130" t="s">
        <v>313</v>
      </c>
      <c r="B90" s="34" t="s">
        <v>21</v>
      </c>
      <c r="C90" s="34" t="s">
        <v>314</v>
      </c>
      <c r="D90" s="34" t="s">
        <v>320</v>
      </c>
      <c r="E90" s="34" t="s">
        <v>321</v>
      </c>
      <c r="F90" s="34">
        <v>2</v>
      </c>
      <c r="G90" s="34">
        <v>2023.7</v>
      </c>
      <c r="H90" s="34">
        <v>14</v>
      </c>
      <c r="I90" s="34">
        <v>2</v>
      </c>
      <c r="J90" s="82" t="s">
        <v>67</v>
      </c>
      <c r="K90" s="150" t="s">
        <v>322</v>
      </c>
      <c r="L90" s="127" t="s">
        <v>423</v>
      </c>
      <c r="M90" s="127" t="s">
        <v>44</v>
      </c>
      <c r="N90" s="127" t="s">
        <v>45</v>
      </c>
      <c r="O90" s="149" t="s">
        <v>72</v>
      </c>
      <c r="P90" s="149" t="s">
        <v>73</v>
      </c>
      <c r="Q90" s="44"/>
      <c r="R90" s="44"/>
      <c r="S90" s="99"/>
    </row>
    <row r="91" s="2" customFormat="1" ht="24" spans="1:19">
      <c r="A91" s="24" t="s">
        <v>313</v>
      </c>
      <c r="B91" s="24" t="s">
        <v>21</v>
      </c>
      <c r="C91" s="24" t="s">
        <v>314</v>
      </c>
      <c r="D91" s="24" t="s">
        <v>320</v>
      </c>
      <c r="E91" s="24" t="s">
        <v>321</v>
      </c>
      <c r="F91" s="24">
        <v>2</v>
      </c>
      <c r="G91" s="24">
        <v>2023.7</v>
      </c>
      <c r="H91" s="24">
        <v>14</v>
      </c>
      <c r="I91" s="24">
        <v>2</v>
      </c>
      <c r="J91" s="13" t="s">
        <v>67</v>
      </c>
      <c r="K91" s="79" t="s">
        <v>324</v>
      </c>
      <c r="L91" s="19" t="s">
        <v>325</v>
      </c>
      <c r="M91" s="19" t="s">
        <v>70</v>
      </c>
      <c r="N91" s="19" t="s">
        <v>326</v>
      </c>
      <c r="O91" s="13" t="s">
        <v>72</v>
      </c>
      <c r="P91" s="13" t="s">
        <v>73</v>
      </c>
      <c r="Q91" s="14"/>
      <c r="R91" s="14"/>
      <c r="S91" s="15"/>
    </row>
    <row r="92" s="2" customFormat="1" ht="54" hidden="1" spans="1:19">
      <c r="A92" s="130" t="s">
        <v>313</v>
      </c>
      <c r="B92" s="130" t="s">
        <v>21</v>
      </c>
      <c r="C92" s="130" t="s">
        <v>327</v>
      </c>
      <c r="D92" s="130" t="s">
        <v>328</v>
      </c>
      <c r="E92" s="130" t="s">
        <v>329</v>
      </c>
      <c r="F92" s="130">
        <v>10</v>
      </c>
      <c r="G92" s="130">
        <v>2025.4</v>
      </c>
      <c r="H92" s="130">
        <v>30</v>
      </c>
      <c r="I92" s="130">
        <v>10</v>
      </c>
      <c r="J92" s="35" t="s">
        <v>25</v>
      </c>
      <c r="K92" s="113" t="s">
        <v>330</v>
      </c>
      <c r="L92" s="113" t="s">
        <v>331</v>
      </c>
      <c r="M92" s="113" t="s">
        <v>332</v>
      </c>
      <c r="N92" s="113" t="s">
        <v>98</v>
      </c>
      <c r="O92" s="149" t="s">
        <v>72</v>
      </c>
      <c r="P92" s="149" t="s">
        <v>73</v>
      </c>
      <c r="Q92" s="128"/>
      <c r="R92" s="128"/>
      <c r="S92" s="106"/>
    </row>
    <row r="93" s="2" customFormat="1" ht="54" hidden="1" spans="1:19">
      <c r="A93" s="130" t="s">
        <v>313</v>
      </c>
      <c r="B93" s="34" t="s">
        <v>21</v>
      </c>
      <c r="C93" s="34" t="s">
        <v>327</v>
      </c>
      <c r="D93" s="34" t="s">
        <v>328</v>
      </c>
      <c r="E93" s="34" t="s">
        <v>329</v>
      </c>
      <c r="F93" s="34">
        <v>10</v>
      </c>
      <c r="G93" s="34">
        <v>2025.4</v>
      </c>
      <c r="H93" s="34">
        <v>30</v>
      </c>
      <c r="I93" s="34">
        <v>10</v>
      </c>
      <c r="J93" s="35" t="s">
        <v>25</v>
      </c>
      <c r="K93" s="116" t="s">
        <v>330</v>
      </c>
      <c r="L93" s="116" t="s">
        <v>333</v>
      </c>
      <c r="M93" s="116" t="s">
        <v>332</v>
      </c>
      <c r="N93" s="116" t="s">
        <v>98</v>
      </c>
      <c r="O93" s="149" t="s">
        <v>72</v>
      </c>
      <c r="P93" s="149" t="s">
        <v>73</v>
      </c>
      <c r="Q93" s="43"/>
      <c r="R93" s="43"/>
      <c r="S93" s="45"/>
    </row>
    <row r="94" s="2" customFormat="1" ht="54" hidden="1" spans="1:19">
      <c r="A94" s="130" t="s">
        <v>313</v>
      </c>
      <c r="B94" s="34" t="s">
        <v>21</v>
      </c>
      <c r="C94" s="34" t="s">
        <v>327</v>
      </c>
      <c r="D94" s="34" t="s">
        <v>328</v>
      </c>
      <c r="E94" s="34" t="s">
        <v>329</v>
      </c>
      <c r="F94" s="34">
        <v>10</v>
      </c>
      <c r="G94" s="34">
        <v>2025.4</v>
      </c>
      <c r="H94" s="34">
        <v>30</v>
      </c>
      <c r="I94" s="34">
        <v>10</v>
      </c>
      <c r="J94" s="35" t="s">
        <v>25</v>
      </c>
      <c r="K94" s="116" t="s">
        <v>330</v>
      </c>
      <c r="L94" s="116" t="s">
        <v>334</v>
      </c>
      <c r="M94" s="116" t="s">
        <v>332</v>
      </c>
      <c r="N94" s="116" t="s">
        <v>98</v>
      </c>
      <c r="O94" s="149" t="s">
        <v>72</v>
      </c>
      <c r="P94" s="149" t="s">
        <v>73</v>
      </c>
      <c r="Q94" s="43"/>
      <c r="R94" s="43"/>
      <c r="S94" s="45"/>
    </row>
    <row r="95" s="2" customFormat="1" ht="54" hidden="1" spans="1:19">
      <c r="A95" s="130" t="s">
        <v>313</v>
      </c>
      <c r="B95" s="34" t="s">
        <v>21</v>
      </c>
      <c r="C95" s="34" t="s">
        <v>327</v>
      </c>
      <c r="D95" s="34" t="s">
        <v>328</v>
      </c>
      <c r="E95" s="34" t="s">
        <v>329</v>
      </c>
      <c r="F95" s="34">
        <v>10</v>
      </c>
      <c r="G95" s="34">
        <v>2025.4</v>
      </c>
      <c r="H95" s="34">
        <v>30</v>
      </c>
      <c r="I95" s="34">
        <v>10</v>
      </c>
      <c r="J95" s="35" t="s">
        <v>25</v>
      </c>
      <c r="K95" s="127" t="s">
        <v>330</v>
      </c>
      <c r="L95" s="127" t="s">
        <v>334</v>
      </c>
      <c r="M95" s="127" t="s">
        <v>332</v>
      </c>
      <c r="N95" s="127" t="s">
        <v>98</v>
      </c>
      <c r="O95" s="149" t="s">
        <v>72</v>
      </c>
      <c r="P95" s="149" t="s">
        <v>73</v>
      </c>
      <c r="Q95" s="44"/>
      <c r="R95" s="44"/>
      <c r="S95" s="99"/>
    </row>
    <row r="96" s="2" customFormat="1" ht="18" customHeight="1" spans="1:19">
      <c r="A96" s="24" t="s">
        <v>335</v>
      </c>
      <c r="B96" s="15" t="s">
        <v>63</v>
      </c>
      <c r="C96" s="15" t="s">
        <v>270</v>
      </c>
      <c r="D96" s="15" t="s">
        <v>336</v>
      </c>
      <c r="E96" s="15" t="s">
        <v>337</v>
      </c>
      <c r="F96" s="15">
        <v>1</v>
      </c>
      <c r="G96" s="15">
        <v>2024.3</v>
      </c>
      <c r="H96" s="15">
        <v>22</v>
      </c>
      <c r="I96" s="15">
        <v>1</v>
      </c>
      <c r="J96" s="24" t="s">
        <v>153</v>
      </c>
      <c r="K96" s="15" t="s">
        <v>338</v>
      </c>
      <c r="L96" s="19" t="s">
        <v>339</v>
      </c>
      <c r="M96" s="15" t="s">
        <v>70</v>
      </c>
      <c r="N96" s="15" t="s">
        <v>71</v>
      </c>
      <c r="O96" s="14" t="s">
        <v>340</v>
      </c>
      <c r="P96" s="14" t="s">
        <v>341</v>
      </c>
      <c r="Q96" s="14"/>
      <c r="R96" s="14"/>
      <c r="S96" s="15"/>
    </row>
    <row r="97" s="2" customFormat="1" ht="27" hidden="1" spans="1:19">
      <c r="A97" s="131" t="s">
        <v>335</v>
      </c>
      <c r="B97" s="106"/>
      <c r="C97" s="106"/>
      <c r="D97" s="106"/>
      <c r="E97" s="106"/>
      <c r="F97" s="106"/>
      <c r="G97" s="106"/>
      <c r="H97" s="106"/>
      <c r="I97" s="106"/>
      <c r="J97" s="131" t="s">
        <v>153</v>
      </c>
      <c r="K97" s="112" t="s">
        <v>342</v>
      </c>
      <c r="L97" s="151" t="s">
        <v>343</v>
      </c>
      <c r="M97" s="112" t="s">
        <v>84</v>
      </c>
      <c r="N97" s="152" t="s">
        <v>84</v>
      </c>
      <c r="O97" s="128"/>
      <c r="P97" s="128"/>
      <c r="S97" s="4"/>
    </row>
    <row r="98" s="84" customFormat="1" hidden="1" spans="1:16">
      <c r="A98" s="85" t="s">
        <v>335</v>
      </c>
      <c r="B98" s="45" t="s">
        <v>63</v>
      </c>
      <c r="C98" s="45" t="s">
        <v>344</v>
      </c>
      <c r="D98" s="45" t="s">
        <v>206</v>
      </c>
      <c r="E98" s="90" t="s">
        <v>207</v>
      </c>
      <c r="F98" s="45">
        <v>2</v>
      </c>
      <c r="G98" s="45">
        <v>2025.4</v>
      </c>
      <c r="H98" s="45">
        <v>18</v>
      </c>
      <c r="I98" s="45">
        <v>2</v>
      </c>
      <c r="J98" s="85" t="s">
        <v>153</v>
      </c>
      <c r="K98" s="45" t="s">
        <v>345</v>
      </c>
      <c r="L98" s="84" t="s">
        <v>346</v>
      </c>
      <c r="M98" s="84" t="s">
        <v>52</v>
      </c>
      <c r="N98" s="84" t="s">
        <v>187</v>
      </c>
      <c r="O98" s="45" t="s">
        <v>347</v>
      </c>
      <c r="P98" s="45" t="s">
        <v>157</v>
      </c>
    </row>
    <row r="99" s="84" customFormat="1" ht="27" hidden="1" spans="1:16">
      <c r="A99" s="85" t="s">
        <v>335</v>
      </c>
      <c r="B99" s="85" t="s">
        <v>21</v>
      </c>
      <c r="C99" s="85" t="s">
        <v>348</v>
      </c>
      <c r="D99" s="85" t="s">
        <v>349</v>
      </c>
      <c r="E99" s="85" t="s">
        <v>350</v>
      </c>
      <c r="F99" s="85">
        <v>7</v>
      </c>
      <c r="G99" s="85">
        <v>2024.11</v>
      </c>
      <c r="H99" s="85">
        <v>20</v>
      </c>
      <c r="I99" s="85">
        <v>7</v>
      </c>
      <c r="J99" s="85" t="s">
        <v>153</v>
      </c>
      <c r="K99" s="153" t="s">
        <v>351</v>
      </c>
      <c r="L99" s="148" t="s">
        <v>695</v>
      </c>
      <c r="M99" s="37" t="s">
        <v>353</v>
      </c>
      <c r="N99" s="154" t="s">
        <v>354</v>
      </c>
      <c r="O99" s="85" t="s">
        <v>355</v>
      </c>
      <c r="P99" s="85" t="s">
        <v>73</v>
      </c>
    </row>
    <row r="100" s="84" customFormat="1" ht="27" hidden="1" spans="1:16">
      <c r="A100" s="85" t="s">
        <v>335</v>
      </c>
      <c r="B100" s="85" t="s">
        <v>21</v>
      </c>
      <c r="C100" s="85" t="s">
        <v>348</v>
      </c>
      <c r="D100" s="85" t="s">
        <v>349</v>
      </c>
      <c r="E100" s="85" t="s">
        <v>350</v>
      </c>
      <c r="F100" s="85">
        <v>7</v>
      </c>
      <c r="G100" s="85">
        <v>2024.11</v>
      </c>
      <c r="H100" s="85">
        <v>20</v>
      </c>
      <c r="I100" s="85">
        <v>7</v>
      </c>
      <c r="J100" s="85" t="s">
        <v>153</v>
      </c>
      <c r="K100" s="153" t="s">
        <v>356</v>
      </c>
      <c r="L100" s="148" t="s">
        <v>357</v>
      </c>
      <c r="M100" s="37" t="s">
        <v>353</v>
      </c>
      <c r="N100" s="154" t="s">
        <v>354</v>
      </c>
      <c r="O100" s="85" t="s">
        <v>355</v>
      </c>
      <c r="P100" s="85" t="s">
        <v>73</v>
      </c>
    </row>
    <row r="101" s="84" customFormat="1" ht="27" hidden="1" spans="1:16">
      <c r="A101" s="85" t="s">
        <v>335</v>
      </c>
      <c r="B101" s="85" t="s">
        <v>21</v>
      </c>
      <c r="C101" s="85" t="s">
        <v>348</v>
      </c>
      <c r="D101" s="85" t="s">
        <v>349</v>
      </c>
      <c r="E101" s="85" t="s">
        <v>350</v>
      </c>
      <c r="F101" s="85">
        <v>7</v>
      </c>
      <c r="G101" s="85">
        <v>2024.11</v>
      </c>
      <c r="H101" s="85">
        <v>20</v>
      </c>
      <c r="I101" s="85">
        <v>7</v>
      </c>
      <c r="J101" s="85" t="s">
        <v>153</v>
      </c>
      <c r="K101" s="153" t="s">
        <v>358</v>
      </c>
      <c r="L101" s="148" t="s">
        <v>359</v>
      </c>
      <c r="M101" s="37" t="s">
        <v>353</v>
      </c>
      <c r="N101" s="154" t="s">
        <v>354</v>
      </c>
      <c r="O101" s="85" t="s">
        <v>355</v>
      </c>
      <c r="P101" s="85" t="s">
        <v>73</v>
      </c>
    </row>
    <row r="102" s="84" customFormat="1" ht="27" hidden="1" spans="1:16">
      <c r="A102" s="85" t="s">
        <v>335</v>
      </c>
      <c r="B102" s="85" t="s">
        <v>21</v>
      </c>
      <c r="C102" s="85" t="s">
        <v>348</v>
      </c>
      <c r="D102" s="85" t="s">
        <v>349</v>
      </c>
      <c r="E102" s="85" t="s">
        <v>350</v>
      </c>
      <c r="F102" s="85">
        <v>7</v>
      </c>
      <c r="G102" s="85">
        <v>2024.11</v>
      </c>
      <c r="H102" s="85">
        <v>20</v>
      </c>
      <c r="I102" s="85">
        <v>7</v>
      </c>
      <c r="J102" s="85" t="s">
        <v>153</v>
      </c>
      <c r="K102" s="153" t="s">
        <v>360</v>
      </c>
      <c r="L102" s="148" t="s">
        <v>361</v>
      </c>
      <c r="M102" s="37" t="s">
        <v>353</v>
      </c>
      <c r="N102" s="154" t="s">
        <v>354</v>
      </c>
      <c r="O102" s="85" t="s">
        <v>355</v>
      </c>
      <c r="P102" s="85" t="s">
        <v>73</v>
      </c>
    </row>
    <row r="103" s="84" customFormat="1" ht="27" hidden="1" spans="1:16">
      <c r="A103" s="85" t="s">
        <v>335</v>
      </c>
      <c r="B103" s="85" t="s">
        <v>21</v>
      </c>
      <c r="C103" s="85" t="s">
        <v>348</v>
      </c>
      <c r="D103" s="85" t="s">
        <v>349</v>
      </c>
      <c r="E103" s="85" t="s">
        <v>350</v>
      </c>
      <c r="F103" s="85">
        <v>7</v>
      </c>
      <c r="G103" s="85">
        <v>2024.11</v>
      </c>
      <c r="H103" s="85">
        <v>20</v>
      </c>
      <c r="I103" s="85">
        <v>7</v>
      </c>
      <c r="J103" s="85" t="s">
        <v>153</v>
      </c>
      <c r="K103" s="153" t="s">
        <v>362</v>
      </c>
      <c r="L103" s="148" t="s">
        <v>363</v>
      </c>
      <c r="M103" s="37" t="s">
        <v>353</v>
      </c>
      <c r="N103" s="154" t="s">
        <v>354</v>
      </c>
      <c r="O103" s="85" t="s">
        <v>355</v>
      </c>
      <c r="P103" s="85" t="s">
        <v>73</v>
      </c>
    </row>
    <row r="104" s="84" customFormat="1" ht="40.5" hidden="1" spans="1:16">
      <c r="A104" s="85" t="s">
        <v>335</v>
      </c>
      <c r="B104" s="85" t="s">
        <v>21</v>
      </c>
      <c r="C104" s="85" t="s">
        <v>348</v>
      </c>
      <c r="D104" s="85" t="s">
        <v>349</v>
      </c>
      <c r="E104" s="85" t="s">
        <v>350</v>
      </c>
      <c r="F104" s="85">
        <v>7</v>
      </c>
      <c r="G104" s="85">
        <v>2024.11</v>
      </c>
      <c r="H104" s="85">
        <v>20</v>
      </c>
      <c r="I104" s="85">
        <v>7</v>
      </c>
      <c r="J104" s="85" t="s">
        <v>153</v>
      </c>
      <c r="K104" s="110" t="s">
        <v>364</v>
      </c>
      <c r="L104" s="155" t="s">
        <v>365</v>
      </c>
      <c r="M104" s="109" t="s">
        <v>353</v>
      </c>
      <c r="N104" s="156" t="s">
        <v>354</v>
      </c>
      <c r="O104" s="34" t="s">
        <v>355</v>
      </c>
      <c r="P104" s="34" t="s">
        <v>73</v>
      </c>
    </row>
    <row r="105" s="84" customFormat="1" ht="40.5" hidden="1" spans="1:17">
      <c r="A105" s="85" t="s">
        <v>366</v>
      </c>
      <c r="B105" s="41" t="s">
        <v>21</v>
      </c>
      <c r="C105" s="41" t="s">
        <v>367</v>
      </c>
      <c r="D105" s="41" t="s">
        <v>368</v>
      </c>
      <c r="E105" s="41" t="s">
        <v>369</v>
      </c>
      <c r="F105" s="41">
        <v>11</v>
      </c>
      <c r="G105" s="41">
        <v>2025.2</v>
      </c>
      <c r="H105" s="41">
        <v>22</v>
      </c>
      <c r="I105" s="41">
        <v>11</v>
      </c>
      <c r="J105" s="41" t="s">
        <v>278</v>
      </c>
      <c r="K105" s="39" t="s">
        <v>370</v>
      </c>
      <c r="L105" s="39" t="s">
        <v>371</v>
      </c>
      <c r="M105" s="39" t="s">
        <v>132</v>
      </c>
      <c r="N105" s="39" t="s">
        <v>372</v>
      </c>
      <c r="O105" s="85" t="s">
        <v>72</v>
      </c>
      <c r="P105" s="85" t="s">
        <v>73</v>
      </c>
      <c r="Q105" s="85"/>
    </row>
    <row r="106" s="2" customFormat="1" ht="40.5" hidden="1" spans="1:17">
      <c r="A106" s="85" t="s">
        <v>366</v>
      </c>
      <c r="B106" s="41" t="s">
        <v>21</v>
      </c>
      <c r="C106" s="41" t="s">
        <v>367</v>
      </c>
      <c r="D106" s="41" t="s">
        <v>368</v>
      </c>
      <c r="E106" s="41" t="s">
        <v>369</v>
      </c>
      <c r="F106" s="41">
        <v>11</v>
      </c>
      <c r="G106" s="41">
        <v>2025.2</v>
      </c>
      <c r="H106" s="41">
        <v>22</v>
      </c>
      <c r="I106" s="41">
        <v>11</v>
      </c>
      <c r="J106" s="41" t="s">
        <v>278</v>
      </c>
      <c r="K106" s="39" t="s">
        <v>373</v>
      </c>
      <c r="L106" s="39" t="s">
        <v>374</v>
      </c>
      <c r="M106" s="39" t="s">
        <v>375</v>
      </c>
      <c r="N106" s="39" t="s">
        <v>376</v>
      </c>
      <c r="O106" s="85"/>
      <c r="P106" s="85" t="s">
        <v>73</v>
      </c>
      <c r="Q106" s="43"/>
    </row>
    <row r="107" s="2" customFormat="1" ht="27" hidden="1" spans="1:19">
      <c r="A107" s="85" t="s">
        <v>366</v>
      </c>
      <c r="B107" s="41" t="s">
        <v>21</v>
      </c>
      <c r="C107" s="41" t="s">
        <v>367</v>
      </c>
      <c r="D107" s="41" t="s">
        <v>368</v>
      </c>
      <c r="E107" s="41" t="s">
        <v>369</v>
      </c>
      <c r="F107" s="41">
        <v>11</v>
      </c>
      <c r="G107" s="41">
        <v>2025.2</v>
      </c>
      <c r="H107" s="41">
        <v>22</v>
      </c>
      <c r="I107" s="41">
        <v>11</v>
      </c>
      <c r="J107" s="41" t="s">
        <v>278</v>
      </c>
      <c r="K107" s="39" t="s">
        <v>377</v>
      </c>
      <c r="L107" s="39" t="s">
        <v>378</v>
      </c>
      <c r="M107" s="39" t="s">
        <v>132</v>
      </c>
      <c r="N107" s="39" t="s">
        <v>372</v>
      </c>
      <c r="O107" s="85"/>
      <c r="P107" s="85" t="s">
        <v>73</v>
      </c>
      <c r="Q107" s="43"/>
      <c r="R107" s="158"/>
      <c r="S107" s="45"/>
    </row>
    <row r="108" s="2" customFormat="1" ht="27" hidden="1" spans="1:19">
      <c r="A108" s="85" t="s">
        <v>366</v>
      </c>
      <c r="B108" s="41" t="s">
        <v>21</v>
      </c>
      <c r="C108" s="41" t="s">
        <v>367</v>
      </c>
      <c r="D108" s="41" t="s">
        <v>368</v>
      </c>
      <c r="E108" s="41" t="s">
        <v>369</v>
      </c>
      <c r="F108" s="41">
        <v>11</v>
      </c>
      <c r="G108" s="41">
        <v>2025.2</v>
      </c>
      <c r="H108" s="41">
        <v>22</v>
      </c>
      <c r="I108" s="41">
        <v>11</v>
      </c>
      <c r="J108" s="41" t="s">
        <v>278</v>
      </c>
      <c r="K108" s="39" t="s">
        <v>379</v>
      </c>
      <c r="L108" s="39" t="s">
        <v>380</v>
      </c>
      <c r="M108" s="157"/>
      <c r="N108" s="157"/>
      <c r="O108" s="85"/>
      <c r="P108" s="85" t="s">
        <v>73</v>
      </c>
      <c r="Q108" s="43"/>
      <c r="R108" s="158"/>
      <c r="S108" s="45"/>
    </row>
    <row r="109" s="2" customFormat="1" ht="40.5" hidden="1" spans="1:19">
      <c r="A109" s="85" t="s">
        <v>366</v>
      </c>
      <c r="B109" s="41" t="s">
        <v>21</v>
      </c>
      <c r="C109" s="41" t="s">
        <v>367</v>
      </c>
      <c r="D109" s="41" t="s">
        <v>368</v>
      </c>
      <c r="E109" s="41" t="s">
        <v>369</v>
      </c>
      <c r="F109" s="41">
        <v>11</v>
      </c>
      <c r="G109" s="41">
        <v>2025.2</v>
      </c>
      <c r="H109" s="41">
        <v>22</v>
      </c>
      <c r="I109" s="41">
        <v>11</v>
      </c>
      <c r="J109" s="41" t="s">
        <v>278</v>
      </c>
      <c r="K109" s="39" t="s">
        <v>381</v>
      </c>
      <c r="L109" s="39" t="s">
        <v>382</v>
      </c>
      <c r="M109" s="39" t="s">
        <v>383</v>
      </c>
      <c r="N109" s="39" t="s">
        <v>176</v>
      </c>
      <c r="O109" s="85"/>
      <c r="P109" s="85" t="s">
        <v>73</v>
      </c>
      <c r="Q109" s="43"/>
      <c r="R109" s="158"/>
      <c r="S109" s="45"/>
    </row>
    <row r="110" s="2" customFormat="1" ht="21" customHeight="1" spans="1:19">
      <c r="A110" s="24" t="s">
        <v>366</v>
      </c>
      <c r="B110" s="13" t="s">
        <v>21</v>
      </c>
      <c r="C110" s="13" t="s">
        <v>367</v>
      </c>
      <c r="D110" s="13" t="s">
        <v>368</v>
      </c>
      <c r="E110" s="13" t="s">
        <v>369</v>
      </c>
      <c r="F110" s="13">
        <v>11</v>
      </c>
      <c r="G110" s="13">
        <v>2025.2</v>
      </c>
      <c r="H110" s="13">
        <v>22</v>
      </c>
      <c r="I110" s="13">
        <v>11</v>
      </c>
      <c r="J110" s="13" t="s">
        <v>278</v>
      </c>
      <c r="K110" s="19" t="s">
        <v>384</v>
      </c>
      <c r="L110" s="19" t="s">
        <v>385</v>
      </c>
      <c r="M110" s="19" t="s">
        <v>70</v>
      </c>
      <c r="N110" s="19" t="s">
        <v>168</v>
      </c>
      <c r="O110" s="24"/>
      <c r="P110" s="24" t="s">
        <v>73</v>
      </c>
      <c r="Q110" s="14"/>
      <c r="R110" s="14"/>
      <c r="S110" s="15"/>
    </row>
    <row r="111" s="2" customFormat="1" ht="27" hidden="1" spans="1:19">
      <c r="A111" s="85" t="s">
        <v>366</v>
      </c>
      <c r="B111" s="41" t="s">
        <v>21</v>
      </c>
      <c r="C111" s="41" t="s">
        <v>367</v>
      </c>
      <c r="D111" s="41" t="s">
        <v>368</v>
      </c>
      <c r="E111" s="41" t="s">
        <v>369</v>
      </c>
      <c r="F111" s="41">
        <v>11</v>
      </c>
      <c r="G111" s="41">
        <v>2025.2</v>
      </c>
      <c r="H111" s="41">
        <v>22</v>
      </c>
      <c r="I111" s="41">
        <v>11</v>
      </c>
      <c r="J111" s="41" t="s">
        <v>278</v>
      </c>
      <c r="K111" s="39" t="s">
        <v>424</v>
      </c>
      <c r="L111" s="157" t="s">
        <v>387</v>
      </c>
      <c r="M111" s="39" t="s">
        <v>388</v>
      </c>
      <c r="N111" s="157"/>
      <c r="O111" s="85"/>
      <c r="P111" s="85" t="s">
        <v>73</v>
      </c>
      <c r="Q111" s="43"/>
      <c r="R111" s="158"/>
      <c r="S111" s="45"/>
    </row>
    <row r="112" s="2" customFormat="1" ht="27" hidden="1" spans="1:19">
      <c r="A112" s="85" t="s">
        <v>366</v>
      </c>
      <c r="B112" s="41" t="s">
        <v>21</v>
      </c>
      <c r="C112" s="41" t="s">
        <v>367</v>
      </c>
      <c r="D112" s="41" t="s">
        <v>368</v>
      </c>
      <c r="E112" s="41" t="s">
        <v>369</v>
      </c>
      <c r="F112" s="41">
        <v>11</v>
      </c>
      <c r="G112" s="41">
        <v>2025.2</v>
      </c>
      <c r="H112" s="41">
        <v>22</v>
      </c>
      <c r="I112" s="41">
        <v>11</v>
      </c>
      <c r="J112" s="41" t="s">
        <v>278</v>
      </c>
      <c r="K112" s="39" t="s">
        <v>389</v>
      </c>
      <c r="L112" s="157"/>
      <c r="M112" s="157" t="s">
        <v>230</v>
      </c>
      <c r="N112" s="157" t="s">
        <v>231</v>
      </c>
      <c r="O112" s="85"/>
      <c r="P112" s="85" t="s">
        <v>73</v>
      </c>
      <c r="Q112" s="43"/>
      <c r="R112" s="158"/>
      <c r="S112" s="45"/>
    </row>
    <row r="113" s="2" customFormat="1" ht="27" hidden="1" spans="1:19">
      <c r="A113" s="85" t="s">
        <v>366</v>
      </c>
      <c r="B113" s="41" t="s">
        <v>21</v>
      </c>
      <c r="C113" s="41" t="s">
        <v>367</v>
      </c>
      <c r="D113" s="41" t="s">
        <v>368</v>
      </c>
      <c r="E113" s="41" t="s">
        <v>369</v>
      </c>
      <c r="F113" s="41">
        <v>11</v>
      </c>
      <c r="G113" s="41">
        <v>2025.2</v>
      </c>
      <c r="H113" s="41">
        <v>22</v>
      </c>
      <c r="I113" s="41">
        <v>11</v>
      </c>
      <c r="J113" s="41" t="s">
        <v>278</v>
      </c>
      <c r="K113" s="39" t="s">
        <v>390</v>
      </c>
      <c r="L113" s="39" t="s">
        <v>391</v>
      </c>
      <c r="M113" s="39" t="s">
        <v>28</v>
      </c>
      <c r="N113" s="39" t="s">
        <v>29</v>
      </c>
      <c r="O113" s="85"/>
      <c r="P113" s="85" t="s">
        <v>73</v>
      </c>
      <c r="Q113" s="43"/>
      <c r="R113" s="158"/>
      <c r="S113" s="45"/>
    </row>
    <row r="114" ht="40.5" hidden="1" spans="1:17">
      <c r="A114" s="85" t="s">
        <v>366</v>
      </c>
      <c r="B114" s="41" t="s">
        <v>21</v>
      </c>
      <c r="C114" s="41" t="s">
        <v>367</v>
      </c>
      <c r="D114" s="41" t="s">
        <v>368</v>
      </c>
      <c r="E114" s="41" t="s">
        <v>369</v>
      </c>
      <c r="F114" s="41">
        <v>11</v>
      </c>
      <c r="G114" s="41">
        <v>2025.2</v>
      </c>
      <c r="H114" s="41">
        <v>22</v>
      </c>
      <c r="I114" s="41">
        <v>11</v>
      </c>
      <c r="J114" s="41" t="s">
        <v>278</v>
      </c>
      <c r="K114" s="39" t="s">
        <v>392</v>
      </c>
      <c r="L114" s="39" t="s">
        <v>393</v>
      </c>
      <c r="M114" s="157" t="s">
        <v>230</v>
      </c>
      <c r="N114" s="157" t="s">
        <v>231</v>
      </c>
      <c r="O114" s="85"/>
      <c r="P114" s="85" t="s">
        <v>73</v>
      </c>
      <c r="Q114" s="43"/>
    </row>
    <row r="115" s="3" customFormat="1" ht="40.5" hidden="1" spans="1:19">
      <c r="A115" s="85" t="s">
        <v>366</v>
      </c>
      <c r="B115" s="41" t="s">
        <v>21</v>
      </c>
      <c r="C115" s="41" t="s">
        <v>367</v>
      </c>
      <c r="D115" s="41" t="s">
        <v>368</v>
      </c>
      <c r="E115" s="41" t="s">
        <v>369</v>
      </c>
      <c r="F115" s="41">
        <v>11</v>
      </c>
      <c r="G115" s="41">
        <v>2025.2</v>
      </c>
      <c r="H115" s="41">
        <v>22</v>
      </c>
      <c r="I115" s="41">
        <v>11</v>
      </c>
      <c r="J115" s="41" t="s">
        <v>278</v>
      </c>
      <c r="K115" s="39" t="s">
        <v>394</v>
      </c>
      <c r="L115" s="39" t="s">
        <v>395</v>
      </c>
      <c r="M115" s="39" t="s">
        <v>36</v>
      </c>
      <c r="N115" s="39" t="s">
        <v>160</v>
      </c>
      <c r="O115" s="85"/>
      <c r="P115" s="85" t="s">
        <v>73</v>
      </c>
      <c r="Q115" s="43"/>
      <c r="R115" s="158"/>
      <c r="S115" s="45"/>
    </row>
    <row r="116" s="3" customFormat="1" ht="24" spans="1:19">
      <c r="A116" s="52" t="s">
        <v>62</v>
      </c>
      <c r="B116" s="52" t="s">
        <v>63</v>
      </c>
      <c r="C116" s="52" t="s">
        <v>64</v>
      </c>
      <c r="D116" s="24" t="s">
        <v>65</v>
      </c>
      <c r="E116" s="24" t="s">
        <v>66</v>
      </c>
      <c r="F116" s="24">
        <v>1</v>
      </c>
      <c r="G116" s="52">
        <v>2024.6</v>
      </c>
      <c r="H116" s="24">
        <v>29</v>
      </c>
      <c r="I116" s="24">
        <v>1</v>
      </c>
      <c r="J116" s="24" t="s">
        <v>67</v>
      </c>
      <c r="K116" s="19" t="s">
        <v>696</v>
      </c>
      <c r="L116" s="19" t="s">
        <v>697</v>
      </c>
      <c r="M116" s="15" t="s">
        <v>70</v>
      </c>
      <c r="N116" s="30" t="s">
        <v>122</v>
      </c>
      <c r="O116" s="75" t="s">
        <v>439</v>
      </c>
      <c r="P116" s="75" t="s">
        <v>440</v>
      </c>
      <c r="Q116" s="14"/>
      <c r="R116" s="14"/>
      <c r="S116" s="15"/>
    </row>
    <row r="117" s="3" customFormat="1" ht="24" spans="1:19">
      <c r="A117" s="52" t="s">
        <v>62</v>
      </c>
      <c r="B117" s="52" t="s">
        <v>63</v>
      </c>
      <c r="C117" s="52" t="s">
        <v>64</v>
      </c>
      <c r="D117" s="24" t="s">
        <v>65</v>
      </c>
      <c r="E117" s="24" t="s">
        <v>66</v>
      </c>
      <c r="F117" s="24">
        <v>1</v>
      </c>
      <c r="G117" s="52">
        <v>2024.6</v>
      </c>
      <c r="H117" s="24">
        <v>29</v>
      </c>
      <c r="I117" s="24">
        <v>1</v>
      </c>
      <c r="J117" s="24" t="s">
        <v>67</v>
      </c>
      <c r="K117" s="19" t="s">
        <v>698</v>
      </c>
      <c r="L117" s="19" t="s">
        <v>699</v>
      </c>
      <c r="M117" s="15" t="s">
        <v>70</v>
      </c>
      <c r="N117" s="30" t="s">
        <v>122</v>
      </c>
      <c r="O117" s="75" t="s">
        <v>439</v>
      </c>
      <c r="P117" s="75" t="s">
        <v>440</v>
      </c>
      <c r="Q117" s="14"/>
      <c r="R117" s="14"/>
      <c r="S117" s="15"/>
    </row>
    <row r="118" s="3" customFormat="1" ht="36" spans="1:19">
      <c r="A118" s="52" t="s">
        <v>62</v>
      </c>
      <c r="B118" s="52" t="s">
        <v>63</v>
      </c>
      <c r="C118" s="52" t="s">
        <v>64</v>
      </c>
      <c r="D118" s="24" t="s">
        <v>65</v>
      </c>
      <c r="E118" s="24" t="s">
        <v>66</v>
      </c>
      <c r="F118" s="24">
        <v>1</v>
      </c>
      <c r="G118" s="52">
        <v>2024.6</v>
      </c>
      <c r="H118" s="24">
        <v>29</v>
      </c>
      <c r="I118" s="24">
        <v>1</v>
      </c>
      <c r="J118" s="24" t="s">
        <v>67</v>
      </c>
      <c r="K118" s="19" t="s">
        <v>700</v>
      </c>
      <c r="L118" s="19" t="s">
        <v>701</v>
      </c>
      <c r="M118" s="15" t="s">
        <v>70</v>
      </c>
      <c r="N118" s="30" t="s">
        <v>122</v>
      </c>
      <c r="O118" s="75" t="s">
        <v>439</v>
      </c>
      <c r="P118" s="75" t="s">
        <v>440</v>
      </c>
      <c r="Q118" s="14"/>
      <c r="R118" s="14"/>
      <c r="S118" s="15"/>
    </row>
    <row r="119" s="3" customFormat="1" ht="36" spans="1:19">
      <c r="A119" s="52" t="s">
        <v>62</v>
      </c>
      <c r="B119" s="52" t="s">
        <v>63</v>
      </c>
      <c r="C119" s="52" t="s">
        <v>64</v>
      </c>
      <c r="D119" s="24" t="s">
        <v>65</v>
      </c>
      <c r="E119" s="24" t="s">
        <v>66</v>
      </c>
      <c r="F119" s="24">
        <v>1</v>
      </c>
      <c r="G119" s="52">
        <v>2024.6</v>
      </c>
      <c r="H119" s="24">
        <v>29</v>
      </c>
      <c r="I119" s="24">
        <v>1</v>
      </c>
      <c r="J119" s="24" t="s">
        <v>67</v>
      </c>
      <c r="K119" s="19" t="s">
        <v>702</v>
      </c>
      <c r="L119" s="19" t="s">
        <v>703</v>
      </c>
      <c r="M119" s="15" t="s">
        <v>70</v>
      </c>
      <c r="N119" s="30" t="s">
        <v>122</v>
      </c>
      <c r="O119" s="75" t="s">
        <v>439</v>
      </c>
      <c r="P119" s="75" t="s">
        <v>440</v>
      </c>
      <c r="Q119" s="14"/>
      <c r="R119" s="14"/>
      <c r="S119" s="15"/>
    </row>
    <row r="120" s="3" customFormat="1" ht="48" spans="1:19">
      <c r="A120" s="52" t="s">
        <v>62</v>
      </c>
      <c r="B120" s="52" t="s">
        <v>63</v>
      </c>
      <c r="C120" s="52" t="s">
        <v>64</v>
      </c>
      <c r="D120" s="24" t="s">
        <v>704</v>
      </c>
      <c r="E120" s="24" t="s">
        <v>705</v>
      </c>
      <c r="F120" s="24">
        <v>1</v>
      </c>
      <c r="G120" s="24">
        <v>2025.4</v>
      </c>
      <c r="H120" s="24">
        <v>8</v>
      </c>
      <c r="I120" s="24">
        <v>1</v>
      </c>
      <c r="J120" s="24" t="s">
        <v>67</v>
      </c>
      <c r="K120" s="19" t="s">
        <v>706</v>
      </c>
      <c r="L120" s="19" t="s">
        <v>707</v>
      </c>
      <c r="M120" s="15" t="s">
        <v>70</v>
      </c>
      <c r="N120" s="15" t="s">
        <v>122</v>
      </c>
      <c r="O120" s="75" t="s">
        <v>439</v>
      </c>
      <c r="P120" s="75" t="s">
        <v>440</v>
      </c>
      <c r="Q120" s="14"/>
      <c r="R120" s="14"/>
      <c r="S120" s="15"/>
    </row>
    <row r="121" s="3" customFormat="1" ht="36" spans="1:19">
      <c r="A121" s="52" t="s">
        <v>62</v>
      </c>
      <c r="B121" s="52" t="s">
        <v>63</v>
      </c>
      <c r="C121" s="52" t="s">
        <v>64</v>
      </c>
      <c r="D121" s="24" t="s">
        <v>704</v>
      </c>
      <c r="E121" s="24" t="s">
        <v>705</v>
      </c>
      <c r="F121" s="24">
        <v>1</v>
      </c>
      <c r="G121" s="24">
        <v>2025.4</v>
      </c>
      <c r="H121" s="24">
        <v>8</v>
      </c>
      <c r="I121" s="24">
        <v>1</v>
      </c>
      <c r="J121" s="24" t="s">
        <v>67</v>
      </c>
      <c r="K121" s="19" t="s">
        <v>708</v>
      </c>
      <c r="L121" s="19" t="s">
        <v>709</v>
      </c>
      <c r="M121" s="15" t="s">
        <v>70</v>
      </c>
      <c r="N121" s="15" t="s">
        <v>122</v>
      </c>
      <c r="O121" s="75" t="s">
        <v>439</v>
      </c>
      <c r="P121" s="75" t="s">
        <v>440</v>
      </c>
      <c r="Q121" s="14"/>
      <c r="R121" s="14"/>
      <c r="S121" s="15"/>
    </row>
    <row r="122" ht="36" spans="1:19">
      <c r="A122" s="52" t="s">
        <v>62</v>
      </c>
      <c r="B122" s="52" t="s">
        <v>63</v>
      </c>
      <c r="C122" s="52" t="s">
        <v>64</v>
      </c>
      <c r="D122" s="24" t="s">
        <v>704</v>
      </c>
      <c r="E122" s="24" t="s">
        <v>705</v>
      </c>
      <c r="F122" s="24">
        <v>1</v>
      </c>
      <c r="G122" s="24">
        <v>2025.4</v>
      </c>
      <c r="H122" s="24">
        <v>8</v>
      </c>
      <c r="I122" s="24">
        <v>1</v>
      </c>
      <c r="J122" s="24" t="s">
        <v>67</v>
      </c>
      <c r="K122" s="19" t="s">
        <v>710</v>
      </c>
      <c r="L122" s="19" t="s">
        <v>711</v>
      </c>
      <c r="M122" s="15" t="s">
        <v>70</v>
      </c>
      <c r="N122" s="15" t="s">
        <v>122</v>
      </c>
      <c r="O122" s="75" t="s">
        <v>439</v>
      </c>
      <c r="P122" s="75" t="s">
        <v>440</v>
      </c>
      <c r="Q122" s="14"/>
      <c r="R122" s="14"/>
      <c r="S122" s="15"/>
    </row>
    <row r="123" spans="1:19">
      <c r="A123" s="52" t="s">
        <v>62</v>
      </c>
      <c r="B123" s="52" t="s">
        <v>63</v>
      </c>
      <c r="C123" s="52" t="s">
        <v>64</v>
      </c>
      <c r="D123" s="24" t="s">
        <v>712</v>
      </c>
      <c r="E123" s="24" t="s">
        <v>713</v>
      </c>
      <c r="F123" s="24">
        <v>1</v>
      </c>
      <c r="G123" s="52">
        <v>2025.4</v>
      </c>
      <c r="H123" s="24">
        <v>8</v>
      </c>
      <c r="I123" s="24">
        <v>1</v>
      </c>
      <c r="J123" s="24" t="s">
        <v>67</v>
      </c>
      <c r="K123" s="19" t="s">
        <v>714</v>
      </c>
      <c r="L123" s="19" t="s">
        <v>715</v>
      </c>
      <c r="M123" s="15" t="s">
        <v>70</v>
      </c>
      <c r="N123" s="15" t="s">
        <v>122</v>
      </c>
      <c r="O123" s="75" t="s">
        <v>439</v>
      </c>
      <c r="P123" s="75" t="s">
        <v>440</v>
      </c>
      <c r="Q123" s="14"/>
      <c r="R123" s="14"/>
      <c r="S123" s="15"/>
    </row>
    <row r="124" ht="24" spans="1:19">
      <c r="A124" s="24" t="s">
        <v>170</v>
      </c>
      <c r="B124" s="13" t="s">
        <v>63</v>
      </c>
      <c r="C124" s="13" t="s">
        <v>171</v>
      </c>
      <c r="D124" s="13" t="s">
        <v>622</v>
      </c>
      <c r="E124" s="13" t="s">
        <v>623</v>
      </c>
      <c r="F124" s="13">
        <v>2</v>
      </c>
      <c r="G124" s="13">
        <v>2025.2</v>
      </c>
      <c r="H124" s="13">
        <v>11</v>
      </c>
      <c r="I124" s="13">
        <v>2</v>
      </c>
      <c r="J124" s="24" t="s">
        <v>153</v>
      </c>
      <c r="K124" s="19" t="s">
        <v>716</v>
      </c>
      <c r="L124" s="19" t="s">
        <v>717</v>
      </c>
      <c r="M124" s="14" t="s">
        <v>70</v>
      </c>
      <c r="N124" s="15" t="s">
        <v>718</v>
      </c>
      <c r="O124" s="75" t="s">
        <v>439</v>
      </c>
      <c r="P124" s="75" t="s">
        <v>440</v>
      </c>
      <c r="Q124" s="14"/>
      <c r="R124" s="14"/>
      <c r="S124" s="15"/>
    </row>
    <row r="125" ht="24" spans="1:19">
      <c r="A125" s="24" t="s">
        <v>170</v>
      </c>
      <c r="B125" s="13"/>
      <c r="C125" s="13" t="s">
        <v>171</v>
      </c>
      <c r="D125" s="13"/>
      <c r="E125" s="13"/>
      <c r="F125" s="13"/>
      <c r="G125" s="13"/>
      <c r="H125" s="13"/>
      <c r="I125" s="13"/>
      <c r="J125" s="24" t="s">
        <v>153</v>
      </c>
      <c r="K125" s="19" t="s">
        <v>719</v>
      </c>
      <c r="L125" s="19" t="s">
        <v>720</v>
      </c>
      <c r="M125" s="14" t="s">
        <v>70</v>
      </c>
      <c r="N125" s="15" t="s">
        <v>718</v>
      </c>
      <c r="O125" s="75" t="s">
        <v>439</v>
      </c>
      <c r="P125" s="75" t="s">
        <v>440</v>
      </c>
      <c r="Q125" s="14"/>
      <c r="R125" s="14"/>
      <c r="S125" s="15"/>
    </row>
    <row r="126" ht="24" spans="1:19">
      <c r="A126" s="24" t="s">
        <v>170</v>
      </c>
      <c r="B126" s="13"/>
      <c r="C126" s="13" t="s">
        <v>171</v>
      </c>
      <c r="D126" s="13"/>
      <c r="E126" s="13"/>
      <c r="F126" s="13"/>
      <c r="G126" s="13"/>
      <c r="H126" s="13"/>
      <c r="I126" s="13"/>
      <c r="J126" s="24" t="s">
        <v>153</v>
      </c>
      <c r="K126" s="19" t="s">
        <v>721</v>
      </c>
      <c r="L126" s="19" t="s">
        <v>722</v>
      </c>
      <c r="M126" s="14" t="s">
        <v>70</v>
      </c>
      <c r="N126" s="15" t="s">
        <v>718</v>
      </c>
      <c r="O126" s="75" t="s">
        <v>439</v>
      </c>
      <c r="P126" s="75" t="s">
        <v>440</v>
      </c>
      <c r="Q126" s="14"/>
      <c r="R126" s="14"/>
      <c r="S126" s="15"/>
    </row>
    <row r="127" ht="24" spans="1:19">
      <c r="A127" s="24" t="s">
        <v>170</v>
      </c>
      <c r="B127" s="13"/>
      <c r="C127" s="13" t="s">
        <v>171</v>
      </c>
      <c r="D127" s="13"/>
      <c r="E127" s="13"/>
      <c r="F127" s="13"/>
      <c r="G127" s="13"/>
      <c r="H127" s="13"/>
      <c r="I127" s="13"/>
      <c r="J127" s="24" t="s">
        <v>153</v>
      </c>
      <c r="K127" s="19" t="s">
        <v>723</v>
      </c>
      <c r="L127" s="19" t="s">
        <v>724</v>
      </c>
      <c r="M127" s="14" t="s">
        <v>70</v>
      </c>
      <c r="N127" s="15" t="s">
        <v>718</v>
      </c>
      <c r="O127" s="75" t="s">
        <v>439</v>
      </c>
      <c r="P127" s="75" t="s">
        <v>440</v>
      </c>
      <c r="Q127" s="14"/>
      <c r="R127" s="14"/>
      <c r="S127" s="15"/>
    </row>
    <row r="128" ht="24" spans="1:19">
      <c r="A128" s="24" t="s">
        <v>217</v>
      </c>
      <c r="B128" s="24" t="s">
        <v>21</v>
      </c>
      <c r="C128" s="24" t="s">
        <v>218</v>
      </c>
      <c r="D128" s="24" t="s">
        <v>219</v>
      </c>
      <c r="E128" s="24" t="s">
        <v>220</v>
      </c>
      <c r="F128" s="24">
        <v>8</v>
      </c>
      <c r="G128" s="24">
        <v>2024.7</v>
      </c>
      <c r="H128" s="24">
        <v>31</v>
      </c>
      <c r="I128" s="24">
        <v>8</v>
      </c>
      <c r="J128" s="24" t="s">
        <v>25</v>
      </c>
      <c r="K128" s="19" t="s">
        <v>725</v>
      </c>
      <c r="L128" s="19" t="s">
        <v>630</v>
      </c>
      <c r="M128" s="14" t="s">
        <v>70</v>
      </c>
      <c r="N128" s="14" t="s">
        <v>726</v>
      </c>
      <c r="O128" s="75" t="s">
        <v>439</v>
      </c>
      <c r="P128" s="75" t="s">
        <v>440</v>
      </c>
      <c r="Q128" s="14"/>
      <c r="R128" s="14"/>
      <c r="S128" s="15"/>
    </row>
    <row r="129" ht="36" spans="1:19">
      <c r="A129" s="24" t="s">
        <v>217</v>
      </c>
      <c r="B129" s="24" t="s">
        <v>21</v>
      </c>
      <c r="C129" s="24" t="s">
        <v>218</v>
      </c>
      <c r="D129" s="24" t="s">
        <v>219</v>
      </c>
      <c r="E129" s="24" t="s">
        <v>220</v>
      </c>
      <c r="F129" s="24">
        <v>8</v>
      </c>
      <c r="G129" s="24">
        <v>2024.7</v>
      </c>
      <c r="H129" s="24">
        <v>31</v>
      </c>
      <c r="I129" s="24">
        <v>8</v>
      </c>
      <c r="J129" s="24" t="s">
        <v>25</v>
      </c>
      <c r="K129" s="19" t="s">
        <v>727</v>
      </c>
      <c r="L129" s="19" t="s">
        <v>466</v>
      </c>
      <c r="M129" s="14" t="s">
        <v>70</v>
      </c>
      <c r="N129" s="14" t="s">
        <v>726</v>
      </c>
      <c r="O129" s="75" t="s">
        <v>439</v>
      </c>
      <c r="P129" s="75" t="s">
        <v>440</v>
      </c>
      <c r="Q129" s="14"/>
      <c r="R129" s="14"/>
      <c r="S129" s="15"/>
    </row>
    <row r="130" ht="24" spans="1:19">
      <c r="A130" s="24" t="s">
        <v>223</v>
      </c>
      <c r="B130" s="24" t="s">
        <v>21</v>
      </c>
      <c r="C130" s="24" t="s">
        <v>473</v>
      </c>
      <c r="D130" s="24" t="s">
        <v>474</v>
      </c>
      <c r="E130" s="24" t="s">
        <v>475</v>
      </c>
      <c r="F130" s="24">
        <v>3</v>
      </c>
      <c r="G130" s="24">
        <v>2025.4</v>
      </c>
      <c r="H130" s="24">
        <v>27</v>
      </c>
      <c r="I130" s="24">
        <v>3</v>
      </c>
      <c r="J130" s="13" t="s">
        <v>153</v>
      </c>
      <c r="K130" s="19" t="s">
        <v>470</v>
      </c>
      <c r="L130" s="19" t="s">
        <v>728</v>
      </c>
      <c r="M130" s="15" t="s">
        <v>70</v>
      </c>
      <c r="N130" s="15" t="s">
        <v>729</v>
      </c>
      <c r="O130" s="13" t="s">
        <v>439</v>
      </c>
      <c r="P130" s="13" t="s">
        <v>440</v>
      </c>
      <c r="Q130" s="14"/>
      <c r="R130" s="14"/>
      <c r="S130" s="15"/>
    </row>
    <row r="131" ht="36" spans="1:19">
      <c r="A131" s="24" t="s">
        <v>223</v>
      </c>
      <c r="B131" s="24" t="s">
        <v>21</v>
      </c>
      <c r="C131" s="24" t="s">
        <v>473</v>
      </c>
      <c r="D131" s="24" t="s">
        <v>474</v>
      </c>
      <c r="E131" s="24" t="s">
        <v>475</v>
      </c>
      <c r="F131" s="24">
        <v>3</v>
      </c>
      <c r="G131" s="24">
        <v>2025.4</v>
      </c>
      <c r="H131" s="24">
        <v>27</v>
      </c>
      <c r="I131" s="24">
        <v>3</v>
      </c>
      <c r="J131" s="13" t="s">
        <v>153</v>
      </c>
      <c r="K131" s="19" t="s">
        <v>730</v>
      </c>
      <c r="L131" s="19" t="s">
        <v>731</v>
      </c>
      <c r="M131" s="15" t="s">
        <v>70</v>
      </c>
      <c r="N131" s="15" t="s">
        <v>729</v>
      </c>
      <c r="O131" s="13" t="s">
        <v>439</v>
      </c>
      <c r="P131" s="13" t="s">
        <v>440</v>
      </c>
      <c r="Q131" s="14"/>
      <c r="R131" s="14"/>
      <c r="S131" s="15"/>
    </row>
    <row r="132" ht="36" spans="1:19">
      <c r="A132" s="24" t="s">
        <v>223</v>
      </c>
      <c r="B132" s="24" t="s">
        <v>21</v>
      </c>
      <c r="C132" s="24" t="s">
        <v>473</v>
      </c>
      <c r="D132" s="24" t="s">
        <v>474</v>
      </c>
      <c r="E132" s="24" t="s">
        <v>475</v>
      </c>
      <c r="F132" s="24">
        <v>3</v>
      </c>
      <c r="G132" s="24">
        <v>2025.4</v>
      </c>
      <c r="H132" s="24">
        <v>27</v>
      </c>
      <c r="I132" s="24">
        <v>3</v>
      </c>
      <c r="J132" s="13" t="s">
        <v>153</v>
      </c>
      <c r="K132" s="19" t="s">
        <v>730</v>
      </c>
      <c r="L132" s="19" t="s">
        <v>732</v>
      </c>
      <c r="M132" s="15" t="s">
        <v>70</v>
      </c>
      <c r="N132" s="15" t="s">
        <v>729</v>
      </c>
      <c r="O132" s="13" t="s">
        <v>439</v>
      </c>
      <c r="P132" s="13" t="s">
        <v>440</v>
      </c>
      <c r="Q132" s="14"/>
      <c r="R132" s="14"/>
      <c r="S132" s="15"/>
    </row>
    <row r="133" spans="1:19">
      <c r="A133" s="24" t="s">
        <v>254</v>
      </c>
      <c r="B133" s="24" t="s">
        <v>21</v>
      </c>
      <c r="C133" s="24" t="s">
        <v>281</v>
      </c>
      <c r="D133" s="24" t="s">
        <v>282</v>
      </c>
      <c r="E133" s="24" t="s">
        <v>283</v>
      </c>
      <c r="F133" s="24">
        <v>6</v>
      </c>
      <c r="G133" s="24">
        <v>2025.4</v>
      </c>
      <c r="H133" s="24">
        <v>22</v>
      </c>
      <c r="I133" s="24">
        <v>6</v>
      </c>
      <c r="J133" s="24" t="s">
        <v>25</v>
      </c>
      <c r="K133" s="19" t="s">
        <v>733</v>
      </c>
      <c r="L133" s="19" t="s">
        <v>734</v>
      </c>
      <c r="M133" s="15" t="s">
        <v>70</v>
      </c>
      <c r="N133" s="15" t="s">
        <v>168</v>
      </c>
      <c r="O133" s="13" t="s">
        <v>439</v>
      </c>
      <c r="P133" s="13" t="s">
        <v>440</v>
      </c>
      <c r="Q133" s="14"/>
      <c r="R133" s="14"/>
      <c r="S133" s="15"/>
    </row>
    <row r="134" spans="1:19">
      <c r="A134" s="24" t="s">
        <v>254</v>
      </c>
      <c r="B134" s="24" t="s">
        <v>21</v>
      </c>
      <c r="C134" s="24" t="s">
        <v>281</v>
      </c>
      <c r="D134" s="24" t="s">
        <v>282</v>
      </c>
      <c r="E134" s="24" t="s">
        <v>283</v>
      </c>
      <c r="F134" s="24">
        <v>6</v>
      </c>
      <c r="G134" s="24">
        <v>2025.4</v>
      </c>
      <c r="H134" s="24">
        <v>22</v>
      </c>
      <c r="I134" s="24">
        <v>6</v>
      </c>
      <c r="J134" s="24" t="s">
        <v>25</v>
      </c>
      <c r="K134" s="19" t="s">
        <v>735</v>
      </c>
      <c r="L134" s="19" t="s">
        <v>736</v>
      </c>
      <c r="M134" s="15" t="s">
        <v>70</v>
      </c>
      <c r="N134" s="15" t="s">
        <v>168</v>
      </c>
      <c r="O134" s="13" t="s">
        <v>439</v>
      </c>
      <c r="P134" s="13" t="s">
        <v>440</v>
      </c>
      <c r="Q134" s="14"/>
      <c r="R134" s="14"/>
      <c r="S134" s="15"/>
    </row>
    <row r="135" ht="24" spans="1:19">
      <c r="A135" s="24" t="s">
        <v>254</v>
      </c>
      <c r="B135" s="24" t="s">
        <v>21</v>
      </c>
      <c r="C135" s="24" t="s">
        <v>281</v>
      </c>
      <c r="D135" s="24" t="s">
        <v>282</v>
      </c>
      <c r="E135" s="24" t="s">
        <v>283</v>
      </c>
      <c r="F135" s="24">
        <v>6</v>
      </c>
      <c r="G135" s="24">
        <v>2025.4</v>
      </c>
      <c r="H135" s="24">
        <v>22</v>
      </c>
      <c r="I135" s="24">
        <v>6</v>
      </c>
      <c r="J135" s="24" t="s">
        <v>25</v>
      </c>
      <c r="K135" s="19" t="s">
        <v>737</v>
      </c>
      <c r="L135" s="19" t="s">
        <v>738</v>
      </c>
      <c r="M135" s="15" t="s">
        <v>70</v>
      </c>
      <c r="N135" s="15" t="s">
        <v>168</v>
      </c>
      <c r="O135" s="13" t="s">
        <v>439</v>
      </c>
      <c r="P135" s="13" t="s">
        <v>440</v>
      </c>
      <c r="Q135" s="14"/>
      <c r="R135" s="14"/>
      <c r="S135" s="15"/>
    </row>
    <row r="136" spans="1:19">
      <c r="A136" s="24" t="s">
        <v>254</v>
      </c>
      <c r="B136" s="24" t="s">
        <v>21</v>
      </c>
      <c r="C136" s="24" t="s">
        <v>281</v>
      </c>
      <c r="D136" s="24" t="s">
        <v>282</v>
      </c>
      <c r="E136" s="24" t="s">
        <v>283</v>
      </c>
      <c r="F136" s="24">
        <v>6</v>
      </c>
      <c r="G136" s="24">
        <v>2025.4</v>
      </c>
      <c r="H136" s="24">
        <v>22</v>
      </c>
      <c r="I136" s="24">
        <v>6</v>
      </c>
      <c r="J136" s="24" t="s">
        <v>25</v>
      </c>
      <c r="K136" s="19" t="s">
        <v>739</v>
      </c>
      <c r="L136" s="79" t="s">
        <v>740</v>
      </c>
      <c r="M136" s="15" t="s">
        <v>70</v>
      </c>
      <c r="N136" s="15" t="s">
        <v>168</v>
      </c>
      <c r="O136" s="13" t="s">
        <v>439</v>
      </c>
      <c r="P136" s="13" t="s">
        <v>440</v>
      </c>
      <c r="Q136" s="14"/>
      <c r="R136" s="14"/>
      <c r="S136" s="15"/>
    </row>
    <row r="137" ht="24" spans="1:19">
      <c r="A137" s="24" t="s">
        <v>313</v>
      </c>
      <c r="B137" s="15" t="s">
        <v>21</v>
      </c>
      <c r="C137" s="15" t="s">
        <v>314</v>
      </c>
      <c r="D137" s="15" t="s">
        <v>315</v>
      </c>
      <c r="E137" s="15" t="s">
        <v>316</v>
      </c>
      <c r="F137" s="15">
        <v>2</v>
      </c>
      <c r="G137" s="56">
        <v>2024.7</v>
      </c>
      <c r="H137" s="15">
        <v>30</v>
      </c>
      <c r="I137" s="15">
        <v>2</v>
      </c>
      <c r="J137" s="14" t="s">
        <v>67</v>
      </c>
      <c r="K137" s="19" t="s">
        <v>741</v>
      </c>
      <c r="L137" s="19" t="s">
        <v>742</v>
      </c>
      <c r="M137" s="15" t="s">
        <v>70</v>
      </c>
      <c r="N137" s="15" t="s">
        <v>326</v>
      </c>
      <c r="O137" s="13" t="s">
        <v>439</v>
      </c>
      <c r="P137" s="13" t="s">
        <v>440</v>
      </c>
      <c r="Q137" s="14"/>
      <c r="R137" s="14"/>
      <c r="S137" s="15"/>
    </row>
    <row r="138" ht="36" spans="1:19">
      <c r="A138" s="24" t="s">
        <v>335</v>
      </c>
      <c r="B138" s="24" t="s">
        <v>21</v>
      </c>
      <c r="C138" s="24" t="s">
        <v>270</v>
      </c>
      <c r="D138" s="24" t="s">
        <v>547</v>
      </c>
      <c r="E138" s="24" t="s">
        <v>548</v>
      </c>
      <c r="F138" s="24">
        <v>8</v>
      </c>
      <c r="G138" s="24">
        <v>2024.11</v>
      </c>
      <c r="H138" s="24">
        <v>27</v>
      </c>
      <c r="I138" s="24">
        <v>8</v>
      </c>
      <c r="J138" s="24" t="s">
        <v>153</v>
      </c>
      <c r="K138" s="19" t="s">
        <v>743</v>
      </c>
      <c r="L138" s="19" t="s">
        <v>744</v>
      </c>
      <c r="M138" s="15" t="s">
        <v>70</v>
      </c>
      <c r="N138" s="15" t="s">
        <v>745</v>
      </c>
      <c r="O138" s="24" t="s">
        <v>439</v>
      </c>
      <c r="P138" s="24" t="s">
        <v>440</v>
      </c>
      <c r="Q138" s="24"/>
      <c r="R138" s="24"/>
      <c r="S138" s="24"/>
    </row>
    <row r="139" spans="1:19">
      <c r="A139" s="24" t="s">
        <v>335</v>
      </c>
      <c r="B139" s="24" t="s">
        <v>63</v>
      </c>
      <c r="C139" s="15" t="s">
        <v>746</v>
      </c>
      <c r="D139" s="15" t="s">
        <v>747</v>
      </c>
      <c r="E139" s="15" t="s">
        <v>748</v>
      </c>
      <c r="F139" s="14">
        <v>1</v>
      </c>
      <c r="G139" s="14">
        <v>2024.5</v>
      </c>
      <c r="H139" s="24">
        <v>13</v>
      </c>
      <c r="I139" s="14">
        <v>1</v>
      </c>
      <c r="J139" s="24" t="s">
        <v>25</v>
      </c>
      <c r="K139" s="19" t="s">
        <v>749</v>
      </c>
      <c r="L139" s="19" t="s">
        <v>750</v>
      </c>
      <c r="M139" s="15" t="s">
        <v>70</v>
      </c>
      <c r="N139" s="15" t="s">
        <v>751</v>
      </c>
      <c r="O139" s="24" t="s">
        <v>439</v>
      </c>
      <c r="P139" s="24" t="s">
        <v>440</v>
      </c>
      <c r="Q139" s="24"/>
      <c r="R139" s="24"/>
      <c r="S139" s="24"/>
    </row>
    <row r="140" spans="1:19">
      <c r="A140" s="24" t="s">
        <v>476</v>
      </c>
      <c r="B140" s="13" t="s">
        <v>21</v>
      </c>
      <c r="C140" s="13" t="s">
        <v>367</v>
      </c>
      <c r="D140" s="13" t="s">
        <v>368</v>
      </c>
      <c r="E140" s="13" t="s">
        <v>369</v>
      </c>
      <c r="F140" s="13">
        <v>11</v>
      </c>
      <c r="G140" s="159">
        <v>2025.2</v>
      </c>
      <c r="H140" s="13">
        <v>22</v>
      </c>
      <c r="I140" s="13">
        <v>11</v>
      </c>
      <c r="J140" s="13" t="s">
        <v>278</v>
      </c>
      <c r="K140" s="19" t="s">
        <v>752</v>
      </c>
      <c r="L140" s="19" t="s">
        <v>753</v>
      </c>
      <c r="M140" s="15" t="s">
        <v>70</v>
      </c>
      <c r="N140" s="15" t="s">
        <v>168</v>
      </c>
      <c r="O140" s="24" t="s">
        <v>479</v>
      </c>
      <c r="P140" s="24" t="s">
        <v>440</v>
      </c>
      <c r="Q140" s="14"/>
      <c r="R140" s="14"/>
      <c r="S140" s="15"/>
    </row>
    <row r="141" spans="1:19">
      <c r="A141" s="24" t="s">
        <v>476</v>
      </c>
      <c r="B141" s="13" t="s">
        <v>21</v>
      </c>
      <c r="C141" s="13" t="s">
        <v>367</v>
      </c>
      <c r="D141" s="13" t="s">
        <v>368</v>
      </c>
      <c r="E141" s="13" t="s">
        <v>369</v>
      </c>
      <c r="F141" s="13">
        <v>11</v>
      </c>
      <c r="G141" s="159">
        <v>2025.2</v>
      </c>
      <c r="H141" s="13">
        <v>22</v>
      </c>
      <c r="I141" s="13">
        <v>11</v>
      </c>
      <c r="J141" s="13" t="s">
        <v>278</v>
      </c>
      <c r="K141" s="19" t="s">
        <v>754</v>
      </c>
      <c r="L141" s="24" t="s">
        <v>755</v>
      </c>
      <c r="M141" s="15" t="s">
        <v>70</v>
      </c>
      <c r="N141" s="15" t="s">
        <v>168</v>
      </c>
      <c r="O141" s="24" t="s">
        <v>479</v>
      </c>
      <c r="P141" s="24" t="s">
        <v>440</v>
      </c>
      <c r="Q141" s="14"/>
      <c r="R141" s="14"/>
      <c r="S141" s="15"/>
    </row>
    <row r="142" ht="24" spans="1:19">
      <c r="A142" s="24" t="s">
        <v>476</v>
      </c>
      <c r="B142" s="13" t="s">
        <v>21</v>
      </c>
      <c r="C142" s="13" t="s">
        <v>367</v>
      </c>
      <c r="D142" s="13" t="s">
        <v>368</v>
      </c>
      <c r="E142" s="13" t="s">
        <v>369</v>
      </c>
      <c r="F142" s="13">
        <v>11</v>
      </c>
      <c r="G142" s="159">
        <v>2025.2</v>
      </c>
      <c r="H142" s="13">
        <v>22</v>
      </c>
      <c r="I142" s="13">
        <v>11</v>
      </c>
      <c r="J142" s="13" t="s">
        <v>278</v>
      </c>
      <c r="K142" s="19" t="s">
        <v>756</v>
      </c>
      <c r="L142" s="19"/>
      <c r="M142" s="15" t="s">
        <v>70</v>
      </c>
      <c r="N142" s="15" t="s">
        <v>168</v>
      </c>
      <c r="O142" s="24" t="s">
        <v>479</v>
      </c>
      <c r="P142" s="24" t="s">
        <v>440</v>
      </c>
      <c r="Q142" s="14"/>
      <c r="R142" s="14"/>
      <c r="S142" s="15"/>
    </row>
    <row r="143" ht="24" spans="1:19">
      <c r="A143" s="24" t="s">
        <v>476</v>
      </c>
      <c r="B143" s="13" t="s">
        <v>21</v>
      </c>
      <c r="C143" s="13" t="s">
        <v>367</v>
      </c>
      <c r="D143" s="13" t="s">
        <v>368</v>
      </c>
      <c r="E143" s="13" t="s">
        <v>369</v>
      </c>
      <c r="F143" s="13">
        <v>11</v>
      </c>
      <c r="G143" s="159">
        <v>2025.2</v>
      </c>
      <c r="H143" s="13">
        <v>22</v>
      </c>
      <c r="I143" s="13">
        <v>11</v>
      </c>
      <c r="J143" s="13" t="s">
        <v>278</v>
      </c>
      <c r="K143" s="19" t="s">
        <v>757</v>
      </c>
      <c r="L143" s="19"/>
      <c r="M143" s="15" t="s">
        <v>70</v>
      </c>
      <c r="N143" s="15" t="s">
        <v>168</v>
      </c>
      <c r="O143" s="24" t="s">
        <v>479</v>
      </c>
      <c r="P143" s="24" t="s">
        <v>440</v>
      </c>
      <c r="Q143" s="14"/>
      <c r="R143" s="14"/>
      <c r="S143" s="15"/>
    </row>
    <row r="144" ht="24" spans="1:19">
      <c r="A144" s="24" t="s">
        <v>476</v>
      </c>
      <c r="B144" s="13" t="s">
        <v>21</v>
      </c>
      <c r="C144" s="13" t="s">
        <v>367</v>
      </c>
      <c r="D144" s="13" t="s">
        <v>368</v>
      </c>
      <c r="E144" s="13" t="s">
        <v>369</v>
      </c>
      <c r="F144" s="13">
        <v>11</v>
      </c>
      <c r="G144" s="159">
        <v>2025.2</v>
      </c>
      <c r="H144" s="13">
        <v>22</v>
      </c>
      <c r="I144" s="13">
        <v>11</v>
      </c>
      <c r="J144" s="13" t="s">
        <v>278</v>
      </c>
      <c r="K144" s="19" t="s">
        <v>758</v>
      </c>
      <c r="L144" s="19" t="s">
        <v>759</v>
      </c>
      <c r="M144" s="15" t="s">
        <v>70</v>
      </c>
      <c r="N144" s="15" t="s">
        <v>168</v>
      </c>
      <c r="O144" s="24" t="s">
        <v>479</v>
      </c>
      <c r="P144" s="24" t="s">
        <v>440</v>
      </c>
      <c r="Q144" s="14"/>
      <c r="R144" s="14"/>
      <c r="S144" s="15"/>
    </row>
    <row r="145" ht="24" spans="1:19">
      <c r="A145" s="24" t="s">
        <v>476</v>
      </c>
      <c r="B145" s="13" t="s">
        <v>21</v>
      </c>
      <c r="C145" s="13" t="s">
        <v>367</v>
      </c>
      <c r="D145" s="13" t="s">
        <v>368</v>
      </c>
      <c r="E145" s="13" t="s">
        <v>369</v>
      </c>
      <c r="F145" s="13">
        <v>11</v>
      </c>
      <c r="G145" s="159">
        <v>2025.2</v>
      </c>
      <c r="H145" s="13">
        <v>22</v>
      </c>
      <c r="I145" s="13">
        <v>11</v>
      </c>
      <c r="J145" s="13" t="s">
        <v>278</v>
      </c>
      <c r="K145" s="19" t="s">
        <v>760</v>
      </c>
      <c r="L145" s="19" t="s">
        <v>759</v>
      </c>
      <c r="M145" s="15" t="s">
        <v>70</v>
      </c>
      <c r="N145" s="15" t="s">
        <v>168</v>
      </c>
      <c r="O145" s="24" t="s">
        <v>479</v>
      </c>
      <c r="P145" s="24" t="s">
        <v>440</v>
      </c>
      <c r="Q145" s="14"/>
      <c r="R145" s="14"/>
      <c r="S145" s="15"/>
    </row>
    <row r="146" ht="24" spans="1:19">
      <c r="A146" s="24" t="s">
        <v>62</v>
      </c>
      <c r="B146" s="24" t="s">
        <v>63</v>
      </c>
      <c r="C146" s="24" t="s">
        <v>64</v>
      </c>
      <c r="D146" s="15" t="s">
        <v>761</v>
      </c>
      <c r="E146" s="15" t="s">
        <v>762</v>
      </c>
      <c r="F146" s="14">
        <v>1</v>
      </c>
      <c r="G146" s="14">
        <v>2025.6</v>
      </c>
      <c r="H146" s="15">
        <v>20</v>
      </c>
      <c r="I146" s="14">
        <v>1</v>
      </c>
      <c r="J146" s="24" t="s">
        <v>488</v>
      </c>
      <c r="K146" s="19" t="s">
        <v>763</v>
      </c>
      <c r="L146" s="19" t="s">
        <v>764</v>
      </c>
      <c r="M146" s="15" t="s">
        <v>70</v>
      </c>
      <c r="N146" s="15" t="s">
        <v>765</v>
      </c>
      <c r="O146" s="30" t="s">
        <v>766</v>
      </c>
      <c r="P146" s="30" t="s">
        <v>518</v>
      </c>
      <c r="Q146" s="30"/>
      <c r="R146" s="30"/>
      <c r="S146" s="30"/>
    </row>
    <row r="147" ht="24" spans="1:19">
      <c r="A147" s="24" t="s">
        <v>62</v>
      </c>
      <c r="B147" s="24" t="s">
        <v>63</v>
      </c>
      <c r="C147" s="24" t="s">
        <v>64</v>
      </c>
      <c r="D147" s="24" t="s">
        <v>767</v>
      </c>
      <c r="E147" s="24" t="s">
        <v>66</v>
      </c>
      <c r="F147" s="24">
        <v>1</v>
      </c>
      <c r="G147" s="24">
        <v>2024.6</v>
      </c>
      <c r="H147" s="24">
        <v>29</v>
      </c>
      <c r="I147" s="24">
        <v>1</v>
      </c>
      <c r="J147" s="24" t="s">
        <v>488</v>
      </c>
      <c r="K147" s="19" t="s">
        <v>768</v>
      </c>
      <c r="L147" s="19" t="s">
        <v>769</v>
      </c>
      <c r="M147" s="15" t="s">
        <v>70</v>
      </c>
      <c r="N147" s="15" t="s">
        <v>122</v>
      </c>
      <c r="O147" s="75" t="s">
        <v>521</v>
      </c>
      <c r="P147" s="75" t="s">
        <v>674</v>
      </c>
      <c r="Q147" s="30"/>
      <c r="R147" s="30"/>
      <c r="S147" s="30"/>
    </row>
    <row r="148" ht="24" spans="1:19">
      <c r="A148" s="24" t="s">
        <v>62</v>
      </c>
      <c r="B148" s="24" t="s">
        <v>63</v>
      </c>
      <c r="C148" s="24" t="s">
        <v>64</v>
      </c>
      <c r="D148" s="24" t="s">
        <v>712</v>
      </c>
      <c r="E148" s="24" t="s">
        <v>713</v>
      </c>
      <c r="F148" s="24">
        <v>1</v>
      </c>
      <c r="G148" s="24">
        <v>2025.4</v>
      </c>
      <c r="H148" s="24">
        <v>8</v>
      </c>
      <c r="I148" s="24">
        <v>1</v>
      </c>
      <c r="J148" s="24" t="s">
        <v>488</v>
      </c>
      <c r="K148" s="19" t="s">
        <v>770</v>
      </c>
      <c r="L148" s="19" t="s">
        <v>771</v>
      </c>
      <c r="M148" s="15" t="s">
        <v>70</v>
      </c>
      <c r="N148" s="15" t="s">
        <v>772</v>
      </c>
      <c r="O148" s="75" t="s">
        <v>773</v>
      </c>
      <c r="P148" s="75" t="s">
        <v>499</v>
      </c>
      <c r="Q148" s="30"/>
      <c r="R148" s="30"/>
      <c r="S148" s="30"/>
    </row>
    <row r="149" ht="24" spans="1:19">
      <c r="A149" s="24" t="s">
        <v>62</v>
      </c>
      <c r="B149" s="24" t="s">
        <v>63</v>
      </c>
      <c r="C149" s="24" t="s">
        <v>64</v>
      </c>
      <c r="D149" s="24" t="s">
        <v>712</v>
      </c>
      <c r="E149" s="24" t="s">
        <v>713</v>
      </c>
      <c r="F149" s="24">
        <v>1</v>
      </c>
      <c r="G149" s="24">
        <v>2025.4</v>
      </c>
      <c r="H149" s="24">
        <v>8</v>
      </c>
      <c r="I149" s="24">
        <v>1</v>
      </c>
      <c r="J149" s="24" t="s">
        <v>488</v>
      </c>
      <c r="K149" s="19" t="s">
        <v>774</v>
      </c>
      <c r="L149" s="19" t="s">
        <v>775</v>
      </c>
      <c r="M149" s="15" t="s">
        <v>70</v>
      </c>
      <c r="N149" s="15" t="s">
        <v>772</v>
      </c>
      <c r="O149" s="75" t="s">
        <v>773</v>
      </c>
      <c r="P149" s="75" t="s">
        <v>499</v>
      </c>
      <c r="Q149" s="30"/>
      <c r="R149" s="30"/>
      <c r="S149" s="30"/>
    </row>
    <row r="150" ht="24" spans="1:19">
      <c r="A150" s="24" t="s">
        <v>62</v>
      </c>
      <c r="B150" s="24" t="s">
        <v>63</v>
      </c>
      <c r="C150" s="24" t="s">
        <v>64</v>
      </c>
      <c r="D150" s="24" t="s">
        <v>776</v>
      </c>
      <c r="E150" s="24" t="s">
        <v>777</v>
      </c>
      <c r="F150" s="24">
        <v>1</v>
      </c>
      <c r="G150" s="24">
        <v>2025.4</v>
      </c>
      <c r="H150" s="24">
        <v>8</v>
      </c>
      <c r="I150" s="24">
        <v>1</v>
      </c>
      <c r="J150" s="24" t="s">
        <v>488</v>
      </c>
      <c r="K150" s="19" t="s">
        <v>778</v>
      </c>
      <c r="L150" s="19" t="s">
        <v>779</v>
      </c>
      <c r="M150" s="15" t="s">
        <v>70</v>
      </c>
      <c r="N150" s="15" t="s">
        <v>765</v>
      </c>
      <c r="O150" s="75" t="s">
        <v>498</v>
      </c>
      <c r="P150" s="75" t="s">
        <v>519</v>
      </c>
      <c r="Q150" s="30"/>
      <c r="R150" s="30"/>
      <c r="S150" s="30"/>
    </row>
    <row r="151" ht="24" spans="1:19">
      <c r="A151" s="13" t="s">
        <v>223</v>
      </c>
      <c r="B151" s="13" t="s">
        <v>21</v>
      </c>
      <c r="C151" s="13" t="s">
        <v>234</v>
      </c>
      <c r="D151" s="13" t="s">
        <v>474</v>
      </c>
      <c r="E151" s="13" t="s">
        <v>475</v>
      </c>
      <c r="F151" s="13">
        <v>3</v>
      </c>
      <c r="G151" s="13">
        <v>2025.4</v>
      </c>
      <c r="H151" s="13">
        <v>27</v>
      </c>
      <c r="I151" s="13">
        <v>3</v>
      </c>
      <c r="J151" s="13" t="s">
        <v>153</v>
      </c>
      <c r="K151" s="19" t="s">
        <v>780</v>
      </c>
      <c r="L151" s="19" t="s">
        <v>781</v>
      </c>
      <c r="M151" s="15" t="s">
        <v>70</v>
      </c>
      <c r="N151" s="19" t="s">
        <v>729</v>
      </c>
      <c r="O151" s="13" t="s">
        <v>563</v>
      </c>
      <c r="P151" s="13" t="s">
        <v>559</v>
      </c>
      <c r="Q151" s="14"/>
      <c r="R151" s="14"/>
      <c r="S151" s="15"/>
    </row>
    <row r="152" ht="48" spans="1:19">
      <c r="A152" s="13" t="s">
        <v>223</v>
      </c>
      <c r="B152" s="13" t="s">
        <v>21</v>
      </c>
      <c r="C152" s="13" t="s">
        <v>234</v>
      </c>
      <c r="D152" s="13" t="s">
        <v>474</v>
      </c>
      <c r="E152" s="13" t="s">
        <v>475</v>
      </c>
      <c r="F152" s="13">
        <v>3</v>
      </c>
      <c r="G152" s="13">
        <v>2025.4</v>
      </c>
      <c r="H152" s="13">
        <v>27</v>
      </c>
      <c r="I152" s="13">
        <v>3</v>
      </c>
      <c r="J152" s="13"/>
      <c r="K152" s="19" t="s">
        <v>782</v>
      </c>
      <c r="L152" s="19" t="s">
        <v>783</v>
      </c>
      <c r="M152" s="15" t="s">
        <v>70</v>
      </c>
      <c r="N152" s="19" t="s">
        <v>729</v>
      </c>
      <c r="O152" s="13" t="s">
        <v>563</v>
      </c>
      <c r="P152" s="13" t="s">
        <v>559</v>
      </c>
      <c r="Q152" s="14"/>
      <c r="R152" s="14"/>
      <c r="S152" s="15"/>
    </row>
    <row r="153" ht="48" spans="1:19">
      <c r="A153" s="13" t="s">
        <v>223</v>
      </c>
      <c r="B153" s="14" t="s">
        <v>21</v>
      </c>
      <c r="C153" s="15" t="s">
        <v>234</v>
      </c>
      <c r="D153" s="14" t="s">
        <v>784</v>
      </c>
      <c r="E153" s="14" t="s">
        <v>785</v>
      </c>
      <c r="F153" s="14">
        <v>10</v>
      </c>
      <c r="G153" s="14">
        <v>2024.4</v>
      </c>
      <c r="H153" s="14">
        <v>19</v>
      </c>
      <c r="I153" s="14">
        <v>10</v>
      </c>
      <c r="J153" s="13"/>
      <c r="K153" s="19" t="s">
        <v>786</v>
      </c>
      <c r="L153" s="19" t="s">
        <v>787</v>
      </c>
      <c r="M153" s="15" t="s">
        <v>70</v>
      </c>
      <c r="N153" s="19" t="s">
        <v>729</v>
      </c>
      <c r="O153" s="14" t="s">
        <v>788</v>
      </c>
      <c r="P153" s="14" t="s">
        <v>788</v>
      </c>
      <c r="Q153" s="14"/>
      <c r="R153" s="14"/>
      <c r="S153" s="15"/>
    </row>
    <row r="154" ht="24" spans="1:19">
      <c r="A154" s="13" t="s">
        <v>223</v>
      </c>
      <c r="B154" s="14" t="s">
        <v>63</v>
      </c>
      <c r="C154" s="15" t="s">
        <v>789</v>
      </c>
      <c r="D154" s="15" t="s">
        <v>790</v>
      </c>
      <c r="E154" s="14" t="s">
        <v>791</v>
      </c>
      <c r="F154" s="14">
        <v>20</v>
      </c>
      <c r="G154" s="14">
        <v>2025.6</v>
      </c>
      <c r="H154" s="14">
        <v>11</v>
      </c>
      <c r="I154" s="14">
        <v>20</v>
      </c>
      <c r="J154" s="13"/>
      <c r="K154" s="19" t="s">
        <v>792</v>
      </c>
      <c r="L154" s="19" t="s">
        <v>793</v>
      </c>
      <c r="M154" s="15" t="s">
        <v>70</v>
      </c>
      <c r="N154" s="19" t="s">
        <v>794</v>
      </c>
      <c r="O154" s="13" t="s">
        <v>499</v>
      </c>
      <c r="P154" s="13" t="s">
        <v>571</v>
      </c>
      <c r="Q154" s="14"/>
      <c r="R154" s="14"/>
      <c r="S154" s="15"/>
    </row>
    <row r="155" spans="1:19">
      <c r="A155" s="13" t="s">
        <v>313</v>
      </c>
      <c r="B155" s="13" t="s">
        <v>21</v>
      </c>
      <c r="C155" s="13" t="s">
        <v>572</v>
      </c>
      <c r="D155" s="13" t="s">
        <v>328</v>
      </c>
      <c r="E155" s="13" t="s">
        <v>329</v>
      </c>
      <c r="F155" s="13">
        <v>10</v>
      </c>
      <c r="G155" s="13">
        <v>2025.4</v>
      </c>
      <c r="H155" s="13">
        <v>30</v>
      </c>
      <c r="I155" s="13">
        <v>10</v>
      </c>
      <c r="J155" s="13" t="s">
        <v>25</v>
      </c>
      <c r="K155" s="19" t="s">
        <v>795</v>
      </c>
      <c r="L155" s="19" t="s">
        <v>796</v>
      </c>
      <c r="M155" s="14" t="s">
        <v>70</v>
      </c>
      <c r="N155" s="15" t="s">
        <v>797</v>
      </c>
      <c r="O155" s="13" t="s">
        <v>563</v>
      </c>
      <c r="P155" s="13" t="s">
        <v>507</v>
      </c>
      <c r="Q155" s="14"/>
      <c r="R155" s="14"/>
      <c r="S155" s="15"/>
    </row>
    <row r="156" spans="1:19">
      <c r="A156" s="24" t="s">
        <v>254</v>
      </c>
      <c r="B156" s="24" t="s">
        <v>21</v>
      </c>
      <c r="C156" s="24" t="s">
        <v>281</v>
      </c>
      <c r="D156" s="24" t="s">
        <v>282</v>
      </c>
      <c r="E156" s="24" t="s">
        <v>283</v>
      </c>
      <c r="F156" s="24">
        <v>7</v>
      </c>
      <c r="G156" s="24">
        <v>2025.4</v>
      </c>
      <c r="H156" s="24">
        <v>22</v>
      </c>
      <c r="I156" s="24">
        <v>7</v>
      </c>
      <c r="J156" s="24" t="s">
        <v>25</v>
      </c>
      <c r="K156" s="19" t="s">
        <v>288</v>
      </c>
      <c r="L156" s="19" t="s">
        <v>289</v>
      </c>
      <c r="M156" s="14" t="s">
        <v>70</v>
      </c>
      <c r="N156" s="79" t="s">
        <v>751</v>
      </c>
      <c r="O156" s="13" t="s">
        <v>506</v>
      </c>
      <c r="P156" s="13" t="s">
        <v>510</v>
      </c>
      <c r="Q156" s="14"/>
      <c r="R156" s="14"/>
      <c r="S156" s="15"/>
    </row>
    <row r="157" spans="1:19">
      <c r="A157" s="24" t="s">
        <v>254</v>
      </c>
      <c r="B157" s="24" t="s">
        <v>21</v>
      </c>
      <c r="C157" s="24" t="s">
        <v>281</v>
      </c>
      <c r="D157" s="24" t="s">
        <v>282</v>
      </c>
      <c r="E157" s="24" t="s">
        <v>283</v>
      </c>
      <c r="F157" s="24">
        <v>7</v>
      </c>
      <c r="G157" s="24">
        <v>2025.4</v>
      </c>
      <c r="H157" s="24">
        <v>22</v>
      </c>
      <c r="I157" s="24">
        <v>7</v>
      </c>
      <c r="J157" s="24" t="s">
        <v>25</v>
      </c>
      <c r="K157" s="19" t="s">
        <v>798</v>
      </c>
      <c r="L157" s="19" t="s">
        <v>799</v>
      </c>
      <c r="M157" s="14" t="s">
        <v>70</v>
      </c>
      <c r="N157" s="79" t="s">
        <v>751</v>
      </c>
      <c r="O157" s="13" t="s">
        <v>506</v>
      </c>
      <c r="P157" s="13" t="s">
        <v>510</v>
      </c>
      <c r="Q157" s="14"/>
      <c r="R157" s="14"/>
      <c r="S157" s="15"/>
    </row>
    <row r="158" spans="1:19">
      <c r="A158" s="13" t="s">
        <v>476</v>
      </c>
      <c r="B158" s="13" t="s">
        <v>21</v>
      </c>
      <c r="C158" s="13" t="s">
        <v>367</v>
      </c>
      <c r="D158" s="13" t="s">
        <v>368</v>
      </c>
      <c r="E158" s="13" t="s">
        <v>369</v>
      </c>
      <c r="F158" s="13">
        <v>11</v>
      </c>
      <c r="G158" s="13">
        <v>2025.2</v>
      </c>
      <c r="H158" s="13">
        <v>22</v>
      </c>
      <c r="I158" s="13">
        <v>11</v>
      </c>
      <c r="J158" s="13" t="s">
        <v>590</v>
      </c>
      <c r="K158" s="15" t="s">
        <v>800</v>
      </c>
      <c r="L158" s="19" t="s">
        <v>801</v>
      </c>
      <c r="M158" s="15" t="s">
        <v>70</v>
      </c>
      <c r="N158" s="15" t="s">
        <v>168</v>
      </c>
      <c r="O158" s="13" t="s">
        <v>506</v>
      </c>
      <c r="P158" s="13" t="s">
        <v>507</v>
      </c>
      <c r="Q158" s="14"/>
      <c r="R158" s="14"/>
      <c r="S158" s="15"/>
    </row>
    <row r="159" ht="24" spans="1:19">
      <c r="A159" s="13" t="s">
        <v>311</v>
      </c>
      <c r="B159" s="24" t="s">
        <v>63</v>
      </c>
      <c r="C159" s="24" t="s">
        <v>802</v>
      </c>
      <c r="D159" s="24" t="s">
        <v>803</v>
      </c>
      <c r="E159" s="24" t="s">
        <v>804</v>
      </c>
      <c r="F159" s="24">
        <v>3</v>
      </c>
      <c r="G159" s="24">
        <v>2025.3</v>
      </c>
      <c r="H159" s="24">
        <v>17</v>
      </c>
      <c r="I159" s="24">
        <v>3</v>
      </c>
      <c r="J159" s="13" t="s">
        <v>153</v>
      </c>
      <c r="K159" s="19" t="s">
        <v>805</v>
      </c>
      <c r="L159" s="19" t="s">
        <v>806</v>
      </c>
      <c r="M159" s="14" t="s">
        <v>70</v>
      </c>
      <c r="N159" s="14" t="s">
        <v>807</v>
      </c>
      <c r="O159" s="13" t="s">
        <v>667</v>
      </c>
      <c r="P159" s="13" t="s">
        <v>674</v>
      </c>
      <c r="Q159" s="14"/>
      <c r="R159" s="14"/>
      <c r="S159" s="15"/>
    </row>
  </sheetData>
  <autoFilter xmlns:etc="http://www.wps.cn/officeDocument/2017/etCustomData" ref="A2:S159" etc:filterBottomFollowUsedRange="0">
    <filterColumn colId="12">
      <filters>
        <filter val="测试、电气"/>
        <filter val="生产、采购、测试、电气"/>
        <filter val="测试"/>
        <filter val="测试，电气，"/>
      </filters>
    </filterColumn>
    <extLst/>
  </autoFilter>
  <mergeCells count="25">
    <mergeCell ref="A1:S1"/>
    <mergeCell ref="B62:B63"/>
    <mergeCell ref="B96:B97"/>
    <mergeCell ref="C62:C63"/>
    <mergeCell ref="C96:C97"/>
    <mergeCell ref="D16:D17"/>
    <mergeCell ref="D62:D63"/>
    <mergeCell ref="D96:D97"/>
    <mergeCell ref="E16:E17"/>
    <mergeCell ref="E62:E63"/>
    <mergeCell ref="E96:E97"/>
    <mergeCell ref="F16:F17"/>
    <mergeCell ref="F62:F63"/>
    <mergeCell ref="F96:F97"/>
    <mergeCell ref="G16:G17"/>
    <mergeCell ref="G62:G63"/>
    <mergeCell ref="G96:G97"/>
    <mergeCell ref="H16:H17"/>
    <mergeCell ref="H62:H63"/>
    <mergeCell ref="H96:H97"/>
    <mergeCell ref="I16:I17"/>
    <mergeCell ref="I62:I63"/>
    <mergeCell ref="I96:I97"/>
    <mergeCell ref="O96:O97"/>
    <mergeCell ref="P96:P97"/>
  </mergeCells>
  <conditionalFormatting sqref="K3:K15">
    <cfRule type="expression" dxfId="1" priority="8">
      <formula>$K3="已完成"</formula>
    </cfRule>
    <cfRule type="expression" dxfId="0" priority="7">
      <formula>OR($K3="延期",AND(#REF!="严重",$K3=""))</formula>
    </cfRule>
  </conditionalFormatting>
  <conditionalFormatting sqref="L3:L15">
    <cfRule type="expression" dxfId="1" priority="6">
      <formula>$K3="已完成"</formula>
    </cfRule>
    <cfRule type="expression" dxfId="0" priority="5">
      <formula>OR($K3="延期",AND(#REF!="严重",$K3=""))</formula>
    </cfRule>
  </conditionalFormatting>
  <conditionalFormatting sqref="K146 K147:K149 K150">
    <cfRule type="expression" dxfId="1" priority="4">
      <formula>$K146="已完成"</formula>
    </cfRule>
    <cfRule type="expression" dxfId="0" priority="3">
      <formula>OR($K146="延期",AND(#REF!="严重",$K146=""))</formula>
    </cfRule>
  </conditionalFormatting>
  <conditionalFormatting sqref="L146 L147:L149 L150">
    <cfRule type="expression" dxfId="1" priority="2">
      <formula>$K146="已完成"</formula>
    </cfRule>
    <cfRule type="expression" dxfId="0" priority="1">
      <formula>OR($K146="延期",AND(#REF!="严重",$K146=""))</formula>
    </cfRule>
  </conditionalFormatting>
  <dataValidations count="1">
    <dataValidation allowBlank="1" showInputMessage="1" showErrorMessage="1" sqref="K3:L15"/>
  </dataValidation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35"/>
  <sheetViews>
    <sheetView workbookViewId="0">
      <pane xSplit="1" ySplit="2" topLeftCell="B108" activePane="bottomRight" state="frozen"/>
      <selection/>
      <selection pane="topRight"/>
      <selection pane="bottomLeft"/>
      <selection pane="bottomRight" activeCell="A1" sqref="A1:S1"/>
    </sheetView>
  </sheetViews>
  <sheetFormatPr defaultColWidth="11" defaultRowHeight="13.5"/>
  <cols>
    <col min="1" max="2" width="11" style="2"/>
    <col min="3" max="3" width="11" style="4"/>
    <col min="4" max="4" width="21.2166666666667" style="4" customWidth="1"/>
    <col min="5" max="5" width="14.1666666666667" style="2" customWidth="1"/>
    <col min="6" max="6" width="11" style="2"/>
    <col min="7" max="7" width="12.3583333333333" style="5" customWidth="1"/>
    <col min="8" max="8" width="11.2083333333333" style="2"/>
    <col min="9" max="10" width="11" style="2"/>
    <col min="11" max="11" width="31.6416666666667" style="4" customWidth="1"/>
    <col min="12" max="12" width="40.6416666666667" style="4" customWidth="1"/>
    <col min="13" max="14" width="9.1" style="4"/>
    <col min="15" max="15" width="15" style="2" customWidth="1"/>
    <col min="16" max="16" width="10.6416666666667" style="2" customWidth="1"/>
    <col min="17" max="18" width="9.1" style="2"/>
    <col min="19" max="19" width="17.425" style="4" customWidth="1"/>
    <col min="20" max="16384" width="11" style="2"/>
  </cols>
  <sheetData>
    <row r="1" s="1" customFormat="1" ht="31.5" spans="1:19">
      <c r="A1" s="6" t="s">
        <v>404</v>
      </c>
      <c r="B1" s="7"/>
      <c r="C1" s="8"/>
      <c r="D1" s="8"/>
      <c r="E1" s="7"/>
      <c r="F1" s="7"/>
      <c r="G1" s="9"/>
      <c r="H1" s="7"/>
      <c r="I1" s="7"/>
      <c r="J1" s="7"/>
      <c r="K1" s="7"/>
      <c r="L1" s="7"/>
      <c r="M1" s="7"/>
      <c r="N1" s="7"/>
      <c r="O1" s="7"/>
      <c r="P1" s="7"/>
      <c r="Q1" s="7"/>
      <c r="R1" s="7"/>
      <c r="S1" s="20"/>
    </row>
    <row r="2" s="1" customFormat="1" ht="42.75" spans="1:19">
      <c r="A2" s="10" t="s">
        <v>1</v>
      </c>
      <c r="B2" s="11" t="s">
        <v>2</v>
      </c>
      <c r="C2" s="11" t="s">
        <v>3</v>
      </c>
      <c r="D2" s="12" t="s">
        <v>4</v>
      </c>
      <c r="E2" s="10" t="s">
        <v>5</v>
      </c>
      <c r="F2" s="11" t="s">
        <v>6</v>
      </c>
      <c r="G2" s="12" t="s">
        <v>7</v>
      </c>
      <c r="H2" s="11" t="s">
        <v>8</v>
      </c>
      <c r="I2" s="11" t="s">
        <v>9</v>
      </c>
      <c r="J2" s="11" t="s">
        <v>10</v>
      </c>
      <c r="K2" s="18" t="s">
        <v>11</v>
      </c>
      <c r="L2" s="18" t="s">
        <v>12</v>
      </c>
      <c r="M2" s="18" t="s">
        <v>13</v>
      </c>
      <c r="N2" s="18" t="s">
        <v>14</v>
      </c>
      <c r="O2" s="18" t="s">
        <v>15</v>
      </c>
      <c r="P2" s="18" t="s">
        <v>16</v>
      </c>
      <c r="Q2" s="18" t="s">
        <v>17</v>
      </c>
      <c r="R2" s="18" t="s">
        <v>18</v>
      </c>
      <c r="S2" s="18" t="s">
        <v>19</v>
      </c>
    </row>
    <row r="3" s="13" customFormat="1" ht="24" spans="1:19">
      <c r="A3" s="24" t="s">
        <v>20</v>
      </c>
      <c r="B3" s="24" t="s">
        <v>21</v>
      </c>
      <c r="C3" s="24" t="s">
        <v>22</v>
      </c>
      <c r="D3" s="24" t="s">
        <v>23</v>
      </c>
      <c r="E3" s="24" t="s">
        <v>24</v>
      </c>
      <c r="F3" s="24">
        <v>77</v>
      </c>
      <c r="G3" s="24">
        <v>2024.9</v>
      </c>
      <c r="H3" s="24">
        <v>22</v>
      </c>
      <c r="I3" s="24">
        <v>77</v>
      </c>
      <c r="J3" s="24" t="s">
        <v>25</v>
      </c>
      <c r="K3" s="29" t="s">
        <v>34</v>
      </c>
      <c r="L3" s="29" t="s">
        <v>35</v>
      </c>
      <c r="M3" s="15" t="s">
        <v>36</v>
      </c>
      <c r="N3" s="30" t="s">
        <v>37</v>
      </c>
      <c r="O3" s="42" t="s">
        <v>30</v>
      </c>
      <c r="P3" s="42" t="s">
        <v>31</v>
      </c>
      <c r="Q3" s="30"/>
      <c r="R3" s="30"/>
      <c r="S3" s="30"/>
    </row>
    <row r="4" s="13" customFormat="1" ht="24" spans="1:19">
      <c r="A4" s="24" t="s">
        <v>20</v>
      </c>
      <c r="B4" s="24" t="s">
        <v>21</v>
      </c>
      <c r="C4" s="24" t="s">
        <v>22</v>
      </c>
      <c r="D4" s="24" t="s">
        <v>23</v>
      </c>
      <c r="E4" s="24" t="s">
        <v>24</v>
      </c>
      <c r="F4" s="24">
        <v>77</v>
      </c>
      <c r="G4" s="24">
        <v>2024.9</v>
      </c>
      <c r="H4" s="24">
        <v>22</v>
      </c>
      <c r="I4" s="24">
        <v>77</v>
      </c>
      <c r="J4" s="24" t="s">
        <v>25</v>
      </c>
      <c r="K4" s="29" t="s">
        <v>38</v>
      </c>
      <c r="L4" s="29" t="s">
        <v>39</v>
      </c>
      <c r="M4" s="15" t="s">
        <v>36</v>
      </c>
      <c r="N4" s="30" t="s">
        <v>37</v>
      </c>
      <c r="O4" s="42" t="s">
        <v>30</v>
      </c>
      <c r="P4" s="42" t="s">
        <v>31</v>
      </c>
      <c r="Q4" s="30"/>
      <c r="R4" s="30"/>
      <c r="S4" s="30"/>
    </row>
    <row r="5" s="13" customFormat="1" ht="24" spans="1:19">
      <c r="A5" s="24" t="s">
        <v>20</v>
      </c>
      <c r="B5" s="24" t="s">
        <v>21</v>
      </c>
      <c r="C5" s="24" t="s">
        <v>22</v>
      </c>
      <c r="D5" s="24" t="s">
        <v>23</v>
      </c>
      <c r="E5" s="24" t="s">
        <v>24</v>
      </c>
      <c r="F5" s="24">
        <v>77</v>
      </c>
      <c r="G5" s="24">
        <v>2024.9</v>
      </c>
      <c r="H5" s="24">
        <v>22</v>
      </c>
      <c r="I5" s="24">
        <v>77</v>
      </c>
      <c r="J5" s="24" t="s">
        <v>25</v>
      </c>
      <c r="K5" s="29" t="s">
        <v>40</v>
      </c>
      <c r="L5" s="29" t="s">
        <v>41</v>
      </c>
      <c r="M5" s="15" t="s">
        <v>36</v>
      </c>
      <c r="N5" s="30" t="s">
        <v>37</v>
      </c>
      <c r="O5" s="42" t="s">
        <v>30</v>
      </c>
      <c r="P5" s="42" t="s">
        <v>31</v>
      </c>
      <c r="Q5" s="30"/>
      <c r="R5" s="30"/>
      <c r="S5" s="30"/>
    </row>
    <row r="6" s="13" customFormat="1" ht="36" spans="1:19">
      <c r="A6" s="24" t="s">
        <v>20</v>
      </c>
      <c r="B6" s="24" t="s">
        <v>21</v>
      </c>
      <c r="C6" s="24" t="s">
        <v>22</v>
      </c>
      <c r="D6" s="24" t="s">
        <v>23</v>
      </c>
      <c r="E6" s="24" t="s">
        <v>24</v>
      </c>
      <c r="F6" s="24">
        <v>77</v>
      </c>
      <c r="G6" s="24">
        <v>2024.9</v>
      </c>
      <c r="H6" s="24">
        <v>22</v>
      </c>
      <c r="I6" s="24">
        <v>77</v>
      </c>
      <c r="J6" s="24" t="s">
        <v>25</v>
      </c>
      <c r="K6" s="29" t="s">
        <v>60</v>
      </c>
      <c r="L6" s="29" t="s">
        <v>61</v>
      </c>
      <c r="M6" s="15" t="s">
        <v>36</v>
      </c>
      <c r="N6" s="30" t="s">
        <v>37</v>
      </c>
      <c r="O6" s="42" t="s">
        <v>30</v>
      </c>
      <c r="P6" s="42" t="s">
        <v>31</v>
      </c>
      <c r="Q6" s="30"/>
      <c r="R6" s="30"/>
      <c r="S6" s="30"/>
    </row>
    <row r="7" s="46" customFormat="1" ht="48" spans="1:19">
      <c r="A7" s="50" t="s">
        <v>62</v>
      </c>
      <c r="B7" s="50" t="s">
        <v>63</v>
      </c>
      <c r="C7" s="50" t="s">
        <v>64</v>
      </c>
      <c r="D7" s="15" t="s">
        <v>76</v>
      </c>
      <c r="E7" s="15" t="s">
        <v>77</v>
      </c>
      <c r="F7" s="15">
        <v>1</v>
      </c>
      <c r="G7" s="15">
        <v>2024.6</v>
      </c>
      <c r="H7" s="15">
        <v>29</v>
      </c>
      <c r="I7" s="15">
        <v>1</v>
      </c>
      <c r="J7" s="51" t="s">
        <v>67</v>
      </c>
      <c r="K7" s="58" t="s">
        <v>78</v>
      </c>
      <c r="L7" s="59" t="s">
        <v>79</v>
      </c>
      <c r="M7" s="15" t="s">
        <v>36</v>
      </c>
      <c r="N7" s="30" t="s">
        <v>37</v>
      </c>
      <c r="O7" s="60" t="s">
        <v>72</v>
      </c>
      <c r="P7" s="60" t="s">
        <v>73</v>
      </c>
      <c r="Q7" s="14"/>
      <c r="R7" s="14"/>
      <c r="S7" s="15"/>
    </row>
    <row r="8" s="46" customFormat="1" ht="24" spans="1:19">
      <c r="A8" s="50" t="s">
        <v>62</v>
      </c>
      <c r="B8" s="50" t="s">
        <v>63</v>
      </c>
      <c r="C8" s="50" t="s">
        <v>64</v>
      </c>
      <c r="D8" s="14" t="s">
        <v>85</v>
      </c>
      <c r="E8" s="14" t="s">
        <v>86</v>
      </c>
      <c r="F8" s="14">
        <v>1</v>
      </c>
      <c r="G8" s="14">
        <v>2025.3</v>
      </c>
      <c r="H8" s="14">
        <v>21</v>
      </c>
      <c r="I8" s="14">
        <v>1</v>
      </c>
      <c r="J8" s="51" t="s">
        <v>67</v>
      </c>
      <c r="K8" s="58" t="s">
        <v>87</v>
      </c>
      <c r="L8" s="59" t="s">
        <v>88</v>
      </c>
      <c r="M8" s="15" t="s">
        <v>36</v>
      </c>
      <c r="N8" s="30" t="s">
        <v>37</v>
      </c>
      <c r="O8" s="60" t="s">
        <v>72</v>
      </c>
      <c r="P8" s="60" t="s">
        <v>73</v>
      </c>
      <c r="Q8" s="14"/>
      <c r="R8" s="14"/>
      <c r="S8" s="15"/>
    </row>
    <row r="9" s="46" customFormat="1" ht="24" spans="1:19">
      <c r="A9" s="50" t="s">
        <v>62</v>
      </c>
      <c r="B9" s="50" t="s">
        <v>63</v>
      </c>
      <c r="C9" s="50" t="s">
        <v>64</v>
      </c>
      <c r="D9" s="15" t="s">
        <v>93</v>
      </c>
      <c r="E9" s="15" t="s">
        <v>94</v>
      </c>
      <c r="F9" s="14">
        <v>4</v>
      </c>
      <c r="G9" s="14">
        <v>2025.4</v>
      </c>
      <c r="H9" s="14">
        <v>3</v>
      </c>
      <c r="I9" s="14">
        <v>4</v>
      </c>
      <c r="J9" s="51" t="s">
        <v>67</v>
      </c>
      <c r="K9" s="58" t="s">
        <v>95</v>
      </c>
      <c r="L9" s="59" t="s">
        <v>96</v>
      </c>
      <c r="M9" s="15" t="s">
        <v>97</v>
      </c>
      <c r="N9" s="30" t="s">
        <v>98</v>
      </c>
      <c r="O9" s="60" t="s">
        <v>72</v>
      </c>
      <c r="P9" s="60" t="s">
        <v>73</v>
      </c>
      <c r="Q9" s="14"/>
      <c r="R9" s="76"/>
      <c r="S9" s="15"/>
    </row>
    <row r="10" s="46" customFormat="1" ht="72" spans="1:19">
      <c r="A10" s="50" t="s">
        <v>62</v>
      </c>
      <c r="B10" s="50" t="s">
        <v>63</v>
      </c>
      <c r="C10" s="50" t="s">
        <v>64</v>
      </c>
      <c r="D10" s="51" t="s">
        <v>127</v>
      </c>
      <c r="E10" s="51" t="s">
        <v>128</v>
      </c>
      <c r="F10" s="51" t="s">
        <v>129</v>
      </c>
      <c r="G10" s="51">
        <v>2025.4</v>
      </c>
      <c r="H10" s="51">
        <v>14</v>
      </c>
      <c r="I10" s="51" t="s">
        <v>405</v>
      </c>
      <c r="J10" s="51" t="s">
        <v>67</v>
      </c>
      <c r="K10" s="58" t="s">
        <v>130</v>
      </c>
      <c r="L10" s="59" t="s">
        <v>131</v>
      </c>
      <c r="M10" s="59" t="s">
        <v>402</v>
      </c>
      <c r="N10" s="59" t="s">
        <v>133</v>
      </c>
      <c r="O10" s="60" t="s">
        <v>72</v>
      </c>
      <c r="P10" s="60" t="s">
        <v>73</v>
      </c>
      <c r="Q10" s="14"/>
      <c r="R10" s="76"/>
      <c r="S10" s="15"/>
    </row>
    <row r="11" s="46" customFormat="1" ht="72" spans="1:19">
      <c r="A11" s="50" t="s">
        <v>62</v>
      </c>
      <c r="B11" s="50" t="s">
        <v>63</v>
      </c>
      <c r="C11" s="50" t="s">
        <v>64</v>
      </c>
      <c r="D11" s="51" t="s">
        <v>127</v>
      </c>
      <c r="E11" s="51" t="s">
        <v>128</v>
      </c>
      <c r="F11" s="51" t="s">
        <v>129</v>
      </c>
      <c r="G11" s="51">
        <v>2025.4</v>
      </c>
      <c r="H11" s="51">
        <v>14</v>
      </c>
      <c r="I11" s="51" t="s">
        <v>129</v>
      </c>
      <c r="J11" s="51" t="s">
        <v>67</v>
      </c>
      <c r="K11" s="58" t="s">
        <v>413</v>
      </c>
      <c r="L11" s="59" t="s">
        <v>414</v>
      </c>
      <c r="M11" s="59" t="s">
        <v>808</v>
      </c>
      <c r="N11" s="59" t="s">
        <v>139</v>
      </c>
      <c r="O11" s="60" t="s">
        <v>72</v>
      </c>
      <c r="P11" s="60" t="s">
        <v>73</v>
      </c>
      <c r="Q11" s="14"/>
      <c r="R11" s="76"/>
      <c r="S11" s="15"/>
    </row>
    <row r="12" s="46" customFormat="1" ht="72" spans="1:19">
      <c r="A12" s="50" t="s">
        <v>62</v>
      </c>
      <c r="B12" s="50" t="s">
        <v>63</v>
      </c>
      <c r="C12" s="50" t="s">
        <v>64</v>
      </c>
      <c r="D12" s="51" t="s">
        <v>127</v>
      </c>
      <c r="E12" s="51" t="s">
        <v>128</v>
      </c>
      <c r="F12" s="51" t="s">
        <v>129</v>
      </c>
      <c r="G12" s="51">
        <v>2025.4</v>
      </c>
      <c r="H12" s="51">
        <v>14</v>
      </c>
      <c r="I12" s="51" t="s">
        <v>129</v>
      </c>
      <c r="J12" s="51" t="s">
        <v>67</v>
      </c>
      <c r="K12" s="58" t="s">
        <v>140</v>
      </c>
      <c r="L12" s="59" t="s">
        <v>415</v>
      </c>
      <c r="M12" s="59" t="s">
        <v>402</v>
      </c>
      <c r="N12" s="59" t="s">
        <v>133</v>
      </c>
      <c r="O12" s="60" t="s">
        <v>72</v>
      </c>
      <c r="P12" s="60" t="s">
        <v>73</v>
      </c>
      <c r="Q12" s="14"/>
      <c r="R12" s="76"/>
      <c r="S12" s="15"/>
    </row>
    <row r="13" s="46" customFormat="1" ht="12" spans="1:19">
      <c r="A13" s="52" t="s">
        <v>149</v>
      </c>
      <c r="B13" s="51" t="s">
        <v>21</v>
      </c>
      <c r="C13" s="51" t="s">
        <v>150</v>
      </c>
      <c r="D13" s="51" t="s">
        <v>151</v>
      </c>
      <c r="E13" s="51" t="s">
        <v>152</v>
      </c>
      <c r="F13" s="51">
        <v>4</v>
      </c>
      <c r="G13" s="51">
        <v>2024.12</v>
      </c>
      <c r="H13" s="51">
        <v>30</v>
      </c>
      <c r="I13" s="51">
        <v>4</v>
      </c>
      <c r="J13" s="24" t="s">
        <v>153</v>
      </c>
      <c r="K13" s="59" t="s">
        <v>158</v>
      </c>
      <c r="L13" s="59" t="s">
        <v>159</v>
      </c>
      <c r="M13" s="15" t="s">
        <v>36</v>
      </c>
      <c r="N13" s="15" t="s">
        <v>160</v>
      </c>
      <c r="O13" s="42" t="s">
        <v>72</v>
      </c>
      <c r="P13" s="42" t="s">
        <v>157</v>
      </c>
      <c r="Q13" s="14"/>
      <c r="R13" s="42"/>
      <c r="S13" s="15"/>
    </row>
    <row r="14" s="46" customFormat="1" ht="12" spans="1:19">
      <c r="A14" s="52" t="s">
        <v>149</v>
      </c>
      <c r="B14" s="51" t="s">
        <v>21</v>
      </c>
      <c r="C14" s="51" t="s">
        <v>150</v>
      </c>
      <c r="D14" s="51" t="s">
        <v>151</v>
      </c>
      <c r="E14" s="51" t="s">
        <v>152</v>
      </c>
      <c r="F14" s="51">
        <v>4</v>
      </c>
      <c r="G14" s="51">
        <v>2024.12</v>
      </c>
      <c r="H14" s="51">
        <v>30</v>
      </c>
      <c r="I14" s="51">
        <v>4</v>
      </c>
      <c r="J14" s="24" t="s">
        <v>153</v>
      </c>
      <c r="K14" s="59" t="s">
        <v>161</v>
      </c>
      <c r="L14" s="59" t="s">
        <v>162</v>
      </c>
      <c r="M14" s="15" t="s">
        <v>36</v>
      </c>
      <c r="N14" s="15" t="s">
        <v>160</v>
      </c>
      <c r="O14" s="42" t="s">
        <v>72</v>
      </c>
      <c r="P14" s="42" t="s">
        <v>157</v>
      </c>
      <c r="Q14" s="14"/>
      <c r="R14" s="42"/>
      <c r="S14" s="15"/>
    </row>
    <row r="15" s="47" customFormat="1" ht="24" spans="1:19">
      <c r="A15" s="51" t="s">
        <v>170</v>
      </c>
      <c r="B15" s="53" t="s">
        <v>63</v>
      </c>
      <c r="C15" s="53" t="s">
        <v>171</v>
      </c>
      <c r="D15" s="53" t="s">
        <v>172</v>
      </c>
      <c r="E15" s="53" t="s">
        <v>173</v>
      </c>
      <c r="F15" s="53">
        <v>2</v>
      </c>
      <c r="G15" s="53">
        <v>2025.3</v>
      </c>
      <c r="H15" s="53">
        <v>18</v>
      </c>
      <c r="I15" s="53">
        <v>2</v>
      </c>
      <c r="J15" s="24" t="s">
        <v>153</v>
      </c>
      <c r="K15" s="61" t="s">
        <v>177</v>
      </c>
      <c r="L15" s="62" t="s">
        <v>178</v>
      </c>
      <c r="M15" s="62" t="s">
        <v>36</v>
      </c>
      <c r="N15" s="15" t="s">
        <v>160</v>
      </c>
      <c r="O15" s="63" t="s">
        <v>72</v>
      </c>
      <c r="P15" s="63" t="s">
        <v>73</v>
      </c>
      <c r="Q15" s="14"/>
      <c r="R15" s="14"/>
      <c r="S15" s="15"/>
    </row>
    <row r="16" s="47" customFormat="1" ht="36" spans="1:19">
      <c r="A16" s="51" t="s">
        <v>170</v>
      </c>
      <c r="B16" s="53" t="s">
        <v>63</v>
      </c>
      <c r="C16" s="53" t="s">
        <v>171</v>
      </c>
      <c r="D16" s="53" t="s">
        <v>172</v>
      </c>
      <c r="E16" s="53" t="s">
        <v>173</v>
      </c>
      <c r="F16" s="53">
        <v>2</v>
      </c>
      <c r="G16" s="53">
        <v>2025.3</v>
      </c>
      <c r="H16" s="53">
        <v>18</v>
      </c>
      <c r="I16" s="53">
        <v>2</v>
      </c>
      <c r="J16" s="24" t="s">
        <v>153</v>
      </c>
      <c r="K16" s="61" t="s">
        <v>179</v>
      </c>
      <c r="L16" s="61" t="s">
        <v>180</v>
      </c>
      <c r="M16" s="62" t="s">
        <v>36</v>
      </c>
      <c r="N16" s="15" t="s">
        <v>160</v>
      </c>
      <c r="O16" s="63" t="s">
        <v>72</v>
      </c>
      <c r="P16" s="63" t="s">
        <v>73</v>
      </c>
      <c r="Q16" s="14"/>
      <c r="R16" s="14"/>
      <c r="S16" s="15"/>
    </row>
    <row r="17" s="47" customFormat="1" ht="36" spans="1:19">
      <c r="A17" s="51" t="s">
        <v>170</v>
      </c>
      <c r="B17" s="53" t="s">
        <v>63</v>
      </c>
      <c r="C17" s="53" t="s">
        <v>171</v>
      </c>
      <c r="D17" s="53" t="s">
        <v>172</v>
      </c>
      <c r="E17" s="53" t="s">
        <v>173</v>
      </c>
      <c r="F17" s="53">
        <v>2</v>
      </c>
      <c r="G17" s="53">
        <v>2025.3</v>
      </c>
      <c r="H17" s="53">
        <v>18</v>
      </c>
      <c r="I17" s="53">
        <v>2</v>
      </c>
      <c r="J17" s="24" t="s">
        <v>153</v>
      </c>
      <c r="K17" s="61" t="s">
        <v>181</v>
      </c>
      <c r="L17" s="61" t="s">
        <v>182</v>
      </c>
      <c r="M17" s="62" t="s">
        <v>36</v>
      </c>
      <c r="N17" s="15" t="s">
        <v>160</v>
      </c>
      <c r="O17" s="63" t="s">
        <v>72</v>
      </c>
      <c r="P17" s="63" t="s">
        <v>73</v>
      </c>
      <c r="Q17" s="14"/>
      <c r="R17" s="14"/>
      <c r="S17" s="15"/>
    </row>
    <row r="18" s="47" customFormat="1" ht="24" spans="1:19">
      <c r="A18" s="51" t="s">
        <v>170</v>
      </c>
      <c r="B18" s="53" t="s">
        <v>63</v>
      </c>
      <c r="C18" s="53" t="s">
        <v>171</v>
      </c>
      <c r="D18" s="53" t="s">
        <v>172</v>
      </c>
      <c r="E18" s="53" t="s">
        <v>173</v>
      </c>
      <c r="F18" s="53">
        <v>2</v>
      </c>
      <c r="G18" s="53">
        <v>2025.3</v>
      </c>
      <c r="H18" s="53">
        <v>18</v>
      </c>
      <c r="I18" s="53">
        <v>2</v>
      </c>
      <c r="J18" s="24" t="s">
        <v>153</v>
      </c>
      <c r="K18" s="61" t="s">
        <v>190</v>
      </c>
      <c r="L18" s="61" t="s">
        <v>191</v>
      </c>
      <c r="M18" s="62" t="s">
        <v>36</v>
      </c>
      <c r="N18" s="15" t="s">
        <v>160</v>
      </c>
      <c r="O18" s="63" t="s">
        <v>72</v>
      </c>
      <c r="P18" s="63" t="s">
        <v>73</v>
      </c>
      <c r="Q18" s="14"/>
      <c r="R18" s="14"/>
      <c r="S18" s="15"/>
    </row>
    <row r="19" s="47" customFormat="1" ht="36" spans="1:19">
      <c r="A19" s="51" t="s">
        <v>170</v>
      </c>
      <c r="B19" s="53" t="s">
        <v>63</v>
      </c>
      <c r="C19" s="53" t="s">
        <v>171</v>
      </c>
      <c r="D19" s="53" t="s">
        <v>194</v>
      </c>
      <c r="E19" s="53" t="s">
        <v>195</v>
      </c>
      <c r="F19" s="53">
        <v>3</v>
      </c>
      <c r="G19" s="53">
        <v>2025.4</v>
      </c>
      <c r="H19" s="53">
        <v>9</v>
      </c>
      <c r="I19" s="53">
        <v>3</v>
      </c>
      <c r="J19" s="24" t="s">
        <v>153</v>
      </c>
      <c r="K19" s="61" t="s">
        <v>196</v>
      </c>
      <c r="L19" s="61" t="s">
        <v>197</v>
      </c>
      <c r="M19" s="62" t="s">
        <v>36</v>
      </c>
      <c r="N19" s="15" t="s">
        <v>160</v>
      </c>
      <c r="O19" s="63" t="s">
        <v>72</v>
      </c>
      <c r="P19" s="63" t="s">
        <v>73</v>
      </c>
      <c r="Q19" s="14"/>
      <c r="R19" s="14"/>
      <c r="S19" s="15"/>
    </row>
    <row r="20" s="47" customFormat="1" ht="24" spans="1:19">
      <c r="A20" s="51" t="s">
        <v>170</v>
      </c>
      <c r="B20" s="53" t="s">
        <v>63</v>
      </c>
      <c r="C20" s="53" t="s">
        <v>171</v>
      </c>
      <c r="D20" s="53" t="s">
        <v>194</v>
      </c>
      <c r="E20" s="53" t="s">
        <v>195</v>
      </c>
      <c r="F20" s="53">
        <v>3</v>
      </c>
      <c r="G20" s="53">
        <v>2025.4</v>
      </c>
      <c r="H20" s="53">
        <v>9</v>
      </c>
      <c r="I20" s="53">
        <v>3</v>
      </c>
      <c r="J20" s="24" t="s">
        <v>153</v>
      </c>
      <c r="K20" s="61" t="s">
        <v>198</v>
      </c>
      <c r="L20" s="61" t="s">
        <v>199</v>
      </c>
      <c r="M20" s="62" t="s">
        <v>36</v>
      </c>
      <c r="N20" s="15" t="s">
        <v>160</v>
      </c>
      <c r="O20" s="63" t="s">
        <v>72</v>
      </c>
      <c r="P20" s="63" t="s">
        <v>73</v>
      </c>
      <c r="Q20" s="14"/>
      <c r="R20" s="14"/>
      <c r="S20" s="15"/>
    </row>
    <row r="21" s="47" customFormat="1" ht="24" spans="1:19">
      <c r="A21" s="51" t="s">
        <v>170</v>
      </c>
      <c r="B21" s="53" t="s">
        <v>63</v>
      </c>
      <c r="C21" s="53" t="s">
        <v>171</v>
      </c>
      <c r="D21" s="53" t="s">
        <v>194</v>
      </c>
      <c r="E21" s="53" t="s">
        <v>195</v>
      </c>
      <c r="F21" s="53">
        <v>3</v>
      </c>
      <c r="G21" s="53">
        <v>2025.4</v>
      </c>
      <c r="H21" s="53">
        <v>9</v>
      </c>
      <c r="I21" s="53">
        <v>3</v>
      </c>
      <c r="J21" s="24" t="s">
        <v>153</v>
      </c>
      <c r="K21" s="61" t="s">
        <v>200</v>
      </c>
      <c r="L21" s="61" t="s">
        <v>201</v>
      </c>
      <c r="M21" s="62" t="s">
        <v>36</v>
      </c>
      <c r="N21" s="15" t="s">
        <v>160</v>
      </c>
      <c r="O21" s="63" t="s">
        <v>72</v>
      </c>
      <c r="P21" s="63" t="s">
        <v>73</v>
      </c>
      <c r="Q21" s="14"/>
      <c r="R21" s="14"/>
      <c r="S21" s="15"/>
    </row>
    <row r="22" s="47" customFormat="1" ht="12" spans="1:19">
      <c r="A22" s="51" t="s">
        <v>170</v>
      </c>
      <c r="B22" s="51" t="s">
        <v>63</v>
      </c>
      <c r="C22" s="51" t="s">
        <v>171</v>
      </c>
      <c r="D22" s="51" t="s">
        <v>206</v>
      </c>
      <c r="E22" s="51" t="s">
        <v>207</v>
      </c>
      <c r="F22" s="51">
        <v>2</v>
      </c>
      <c r="G22" s="51">
        <v>2025.4</v>
      </c>
      <c r="H22" s="51">
        <v>18</v>
      </c>
      <c r="I22" s="51">
        <v>2</v>
      </c>
      <c r="J22" s="24" t="s">
        <v>153</v>
      </c>
      <c r="K22" s="61" t="s">
        <v>208</v>
      </c>
      <c r="L22" s="64"/>
      <c r="M22" s="62" t="s">
        <v>36</v>
      </c>
      <c r="N22" s="15" t="s">
        <v>160</v>
      </c>
      <c r="O22" s="63" t="s">
        <v>72</v>
      </c>
      <c r="P22" s="63" t="s">
        <v>73</v>
      </c>
      <c r="Q22" s="14"/>
      <c r="R22" s="14"/>
      <c r="S22" s="15"/>
    </row>
    <row r="23" s="47" customFormat="1" ht="24" spans="1:19">
      <c r="A23" s="51" t="s">
        <v>170</v>
      </c>
      <c r="B23" s="51" t="s">
        <v>63</v>
      </c>
      <c r="C23" s="51" t="s">
        <v>171</v>
      </c>
      <c r="D23" s="51" t="s">
        <v>206</v>
      </c>
      <c r="E23" s="51" t="s">
        <v>207</v>
      </c>
      <c r="F23" s="51">
        <v>2</v>
      </c>
      <c r="G23" s="51">
        <v>2025.4</v>
      </c>
      <c r="H23" s="51">
        <v>18</v>
      </c>
      <c r="I23" s="51">
        <v>2</v>
      </c>
      <c r="J23" s="24" t="s">
        <v>153</v>
      </c>
      <c r="K23" s="61" t="s">
        <v>215</v>
      </c>
      <c r="L23" s="61" t="s">
        <v>216</v>
      </c>
      <c r="M23" s="62" t="s">
        <v>36</v>
      </c>
      <c r="N23" s="15" t="s">
        <v>160</v>
      </c>
      <c r="O23" s="63" t="s">
        <v>72</v>
      </c>
      <c r="P23" s="63" t="s">
        <v>73</v>
      </c>
      <c r="Q23" s="14"/>
      <c r="R23" s="14"/>
      <c r="S23" s="15"/>
    </row>
    <row r="24" s="46" customFormat="1" ht="12" spans="1:19">
      <c r="A24" s="51" t="s">
        <v>254</v>
      </c>
      <c r="B24" s="54" t="s">
        <v>21</v>
      </c>
      <c r="C24" s="54" t="s">
        <v>255</v>
      </c>
      <c r="D24" s="54" t="s">
        <v>256</v>
      </c>
      <c r="E24" s="54" t="s">
        <v>257</v>
      </c>
      <c r="F24" s="54">
        <v>1</v>
      </c>
      <c r="G24" s="54">
        <v>2024.1</v>
      </c>
      <c r="H24" s="54">
        <v>25</v>
      </c>
      <c r="I24" s="54">
        <v>1</v>
      </c>
      <c r="J24" s="55" t="s">
        <v>25</v>
      </c>
      <c r="K24" s="61" t="s">
        <v>258</v>
      </c>
      <c r="L24" s="61" t="s">
        <v>259</v>
      </c>
      <c r="M24" s="62" t="s">
        <v>402</v>
      </c>
      <c r="N24" s="65" t="s">
        <v>260</v>
      </c>
      <c r="O24" s="13" t="s">
        <v>72</v>
      </c>
      <c r="P24" s="13" t="s">
        <v>73</v>
      </c>
      <c r="Q24" s="14"/>
      <c r="R24" s="14"/>
      <c r="S24" s="15"/>
    </row>
    <row r="25" s="46" customFormat="1" ht="12" spans="1:19">
      <c r="A25" s="51" t="s">
        <v>254</v>
      </c>
      <c r="B25" s="54" t="s">
        <v>21</v>
      </c>
      <c r="C25" s="54" t="s">
        <v>255</v>
      </c>
      <c r="D25" s="54" t="s">
        <v>256</v>
      </c>
      <c r="E25" s="54" t="s">
        <v>257</v>
      </c>
      <c r="F25" s="54">
        <v>1</v>
      </c>
      <c r="G25" s="54">
        <v>2024.1</v>
      </c>
      <c r="H25" s="54">
        <v>25</v>
      </c>
      <c r="I25" s="54">
        <v>1</v>
      </c>
      <c r="J25" s="55" t="s">
        <v>25</v>
      </c>
      <c r="K25" s="61" t="s">
        <v>261</v>
      </c>
      <c r="L25" s="61" t="s">
        <v>262</v>
      </c>
      <c r="M25" s="62" t="s">
        <v>402</v>
      </c>
      <c r="N25" s="65" t="s">
        <v>260</v>
      </c>
      <c r="O25" s="13" t="s">
        <v>72</v>
      </c>
      <c r="P25" s="13" t="s">
        <v>73</v>
      </c>
      <c r="Q25" s="14"/>
      <c r="R25" s="14"/>
      <c r="S25" s="15"/>
    </row>
    <row r="26" s="46" customFormat="1" ht="12" spans="1:19">
      <c r="A26" s="51" t="s">
        <v>254</v>
      </c>
      <c r="B26" s="55" t="s">
        <v>21</v>
      </c>
      <c r="C26" s="55" t="s">
        <v>281</v>
      </c>
      <c r="D26" s="55" t="s">
        <v>282</v>
      </c>
      <c r="E26" s="55" t="s">
        <v>283</v>
      </c>
      <c r="F26" s="55">
        <v>6</v>
      </c>
      <c r="G26" s="55">
        <v>2025.4</v>
      </c>
      <c r="H26" s="55">
        <v>22</v>
      </c>
      <c r="I26" s="55">
        <v>6</v>
      </c>
      <c r="J26" s="55" t="s">
        <v>25</v>
      </c>
      <c r="K26" s="19" t="s">
        <v>290</v>
      </c>
      <c r="L26" s="19" t="s">
        <v>291</v>
      </c>
      <c r="M26" s="19" t="s">
        <v>36</v>
      </c>
      <c r="N26" s="66" t="s">
        <v>160</v>
      </c>
      <c r="O26" s="13" t="s">
        <v>72</v>
      </c>
      <c r="P26" s="13" t="s">
        <v>73</v>
      </c>
      <c r="Q26" s="14"/>
      <c r="R26" s="14"/>
      <c r="S26" s="15"/>
    </row>
    <row r="27" s="46" customFormat="1" ht="24" spans="1:19">
      <c r="A27" s="51" t="s">
        <v>254</v>
      </c>
      <c r="B27" s="55" t="s">
        <v>21</v>
      </c>
      <c r="C27" s="55" t="s">
        <v>281</v>
      </c>
      <c r="D27" s="55" t="s">
        <v>282</v>
      </c>
      <c r="E27" s="55" t="s">
        <v>283</v>
      </c>
      <c r="F27" s="55">
        <v>6</v>
      </c>
      <c r="G27" s="55">
        <v>2025.4</v>
      </c>
      <c r="H27" s="55">
        <v>22</v>
      </c>
      <c r="I27" s="55">
        <v>6</v>
      </c>
      <c r="J27" s="55" t="s">
        <v>25</v>
      </c>
      <c r="K27" s="19" t="s">
        <v>300</v>
      </c>
      <c r="L27" s="19" t="s">
        <v>301</v>
      </c>
      <c r="M27" s="19" t="s">
        <v>36</v>
      </c>
      <c r="N27" s="66" t="s">
        <v>160</v>
      </c>
      <c r="O27" s="13" t="s">
        <v>72</v>
      </c>
      <c r="P27" s="13" t="s">
        <v>73</v>
      </c>
      <c r="Q27" s="14"/>
      <c r="R27" s="14"/>
      <c r="S27" s="15"/>
    </row>
    <row r="28" s="46" customFormat="1" ht="12" spans="1:19">
      <c r="A28" s="51" t="s">
        <v>254</v>
      </c>
      <c r="B28" s="55" t="s">
        <v>21</v>
      </c>
      <c r="C28" s="55" t="s">
        <v>281</v>
      </c>
      <c r="D28" s="55" t="s">
        <v>282</v>
      </c>
      <c r="E28" s="55" t="s">
        <v>283</v>
      </c>
      <c r="F28" s="55">
        <v>6</v>
      </c>
      <c r="G28" s="55">
        <v>2025.4</v>
      </c>
      <c r="H28" s="55">
        <v>22</v>
      </c>
      <c r="I28" s="55">
        <v>6</v>
      </c>
      <c r="J28" s="55" t="s">
        <v>25</v>
      </c>
      <c r="K28" s="19" t="s">
        <v>302</v>
      </c>
      <c r="L28" s="19" t="s">
        <v>303</v>
      </c>
      <c r="M28" s="19" t="s">
        <v>36</v>
      </c>
      <c r="N28" s="66" t="s">
        <v>160</v>
      </c>
      <c r="O28" s="13" t="s">
        <v>72</v>
      </c>
      <c r="P28" s="13" t="s">
        <v>73</v>
      </c>
      <c r="Q28" s="14"/>
      <c r="R28" s="14"/>
      <c r="S28" s="15"/>
    </row>
    <row r="29" s="46" customFormat="1" ht="48" customHeight="1" spans="1:19">
      <c r="A29" s="54" t="s">
        <v>313</v>
      </c>
      <c r="B29" s="54" t="s">
        <v>21</v>
      </c>
      <c r="C29" s="54" t="s">
        <v>314</v>
      </c>
      <c r="D29" s="54" t="s">
        <v>315</v>
      </c>
      <c r="E29" s="54" t="s">
        <v>316</v>
      </c>
      <c r="F29" s="54">
        <v>2</v>
      </c>
      <c r="G29" s="54">
        <v>2024.7</v>
      </c>
      <c r="H29" s="54">
        <v>30</v>
      </c>
      <c r="I29" s="54">
        <v>2</v>
      </c>
      <c r="J29" s="47" t="s">
        <v>67</v>
      </c>
      <c r="K29" s="67" t="s">
        <v>317</v>
      </c>
      <c r="L29" s="61" t="s">
        <v>319</v>
      </c>
      <c r="M29" s="61" t="s">
        <v>36</v>
      </c>
      <c r="N29" s="61" t="s">
        <v>160</v>
      </c>
      <c r="O29" s="68" t="s">
        <v>72</v>
      </c>
      <c r="P29" s="68" t="s">
        <v>73</v>
      </c>
      <c r="Q29" s="14"/>
      <c r="R29" s="14"/>
      <c r="S29" s="15"/>
    </row>
    <row r="30" s="46" customFormat="1" ht="48" spans="1:19">
      <c r="A30" s="54" t="s">
        <v>313</v>
      </c>
      <c r="B30" s="51" t="s">
        <v>21</v>
      </c>
      <c r="C30" s="51" t="s">
        <v>327</v>
      </c>
      <c r="D30" s="51" t="s">
        <v>328</v>
      </c>
      <c r="E30" s="51" t="s">
        <v>329</v>
      </c>
      <c r="F30" s="51">
        <v>10</v>
      </c>
      <c r="G30" s="51">
        <v>2025.4</v>
      </c>
      <c r="H30" s="51">
        <v>30</v>
      </c>
      <c r="I30" s="51">
        <v>10</v>
      </c>
      <c r="J30" s="55" t="s">
        <v>25</v>
      </c>
      <c r="K30" s="61" t="s">
        <v>330</v>
      </c>
      <c r="L30" s="61" t="s">
        <v>331</v>
      </c>
      <c r="M30" s="61" t="s">
        <v>332</v>
      </c>
      <c r="N30" s="61" t="s">
        <v>98</v>
      </c>
      <c r="O30" s="68" t="s">
        <v>72</v>
      </c>
      <c r="P30" s="68" t="s">
        <v>73</v>
      </c>
      <c r="Q30" s="14"/>
      <c r="R30" s="14"/>
      <c r="S30" s="15"/>
    </row>
    <row r="31" s="46" customFormat="1" ht="48" spans="1:19">
      <c r="A31" s="54" t="s">
        <v>313</v>
      </c>
      <c r="B31" s="51" t="s">
        <v>21</v>
      </c>
      <c r="C31" s="51" t="s">
        <v>327</v>
      </c>
      <c r="D31" s="51" t="s">
        <v>328</v>
      </c>
      <c r="E31" s="51" t="s">
        <v>329</v>
      </c>
      <c r="F31" s="51">
        <v>10</v>
      </c>
      <c r="G31" s="51">
        <v>2025.4</v>
      </c>
      <c r="H31" s="51">
        <v>30</v>
      </c>
      <c r="I31" s="51">
        <v>10</v>
      </c>
      <c r="J31" s="55" t="s">
        <v>25</v>
      </c>
      <c r="K31" s="61" t="s">
        <v>330</v>
      </c>
      <c r="L31" s="61" t="s">
        <v>333</v>
      </c>
      <c r="M31" s="61" t="s">
        <v>332</v>
      </c>
      <c r="N31" s="61" t="s">
        <v>98</v>
      </c>
      <c r="O31" s="68" t="s">
        <v>72</v>
      </c>
      <c r="P31" s="68" t="s">
        <v>73</v>
      </c>
      <c r="Q31" s="14"/>
      <c r="R31" s="14"/>
      <c r="S31" s="15"/>
    </row>
    <row r="32" s="46" customFormat="1" ht="48" spans="1:19">
      <c r="A32" s="54" t="s">
        <v>313</v>
      </c>
      <c r="B32" s="51" t="s">
        <v>21</v>
      </c>
      <c r="C32" s="51" t="s">
        <v>327</v>
      </c>
      <c r="D32" s="51" t="s">
        <v>328</v>
      </c>
      <c r="E32" s="51" t="s">
        <v>329</v>
      </c>
      <c r="F32" s="51">
        <v>10</v>
      </c>
      <c r="G32" s="51">
        <v>2025.4</v>
      </c>
      <c r="H32" s="51">
        <v>30</v>
      </c>
      <c r="I32" s="51">
        <v>10</v>
      </c>
      <c r="J32" s="55" t="s">
        <v>25</v>
      </c>
      <c r="K32" s="61" t="s">
        <v>330</v>
      </c>
      <c r="L32" s="61" t="s">
        <v>334</v>
      </c>
      <c r="M32" s="61" t="s">
        <v>332</v>
      </c>
      <c r="N32" s="61" t="s">
        <v>98</v>
      </c>
      <c r="O32" s="68" t="s">
        <v>72</v>
      </c>
      <c r="P32" s="68" t="s">
        <v>73</v>
      </c>
      <c r="Q32" s="14"/>
      <c r="R32" s="14"/>
      <c r="S32" s="15"/>
    </row>
    <row r="33" s="46" customFormat="1" ht="48" spans="1:19">
      <c r="A33" s="54" t="s">
        <v>313</v>
      </c>
      <c r="B33" s="51" t="s">
        <v>21</v>
      </c>
      <c r="C33" s="51" t="s">
        <v>327</v>
      </c>
      <c r="D33" s="51" t="s">
        <v>328</v>
      </c>
      <c r="E33" s="51" t="s">
        <v>329</v>
      </c>
      <c r="F33" s="51">
        <v>10</v>
      </c>
      <c r="G33" s="51">
        <v>2025.4</v>
      </c>
      <c r="H33" s="51">
        <v>30</v>
      </c>
      <c r="I33" s="51">
        <v>10</v>
      </c>
      <c r="J33" s="55" t="s">
        <v>25</v>
      </c>
      <c r="K33" s="69" t="s">
        <v>330</v>
      </c>
      <c r="L33" s="61" t="s">
        <v>334</v>
      </c>
      <c r="M33" s="61" t="s">
        <v>332</v>
      </c>
      <c r="N33" s="61" t="s">
        <v>98</v>
      </c>
      <c r="O33" s="68" t="s">
        <v>72</v>
      </c>
      <c r="P33" s="68" t="s">
        <v>73</v>
      </c>
      <c r="Q33" s="14"/>
      <c r="R33" s="14"/>
      <c r="S33" s="15"/>
    </row>
    <row r="34" s="48" customFormat="1" ht="24" spans="1:16">
      <c r="A34" s="24" t="s">
        <v>335</v>
      </c>
      <c r="B34" s="24" t="s">
        <v>21</v>
      </c>
      <c r="C34" s="24" t="s">
        <v>348</v>
      </c>
      <c r="D34" s="24" t="s">
        <v>349</v>
      </c>
      <c r="E34" s="24" t="s">
        <v>350</v>
      </c>
      <c r="F34" s="24">
        <v>7</v>
      </c>
      <c r="G34" s="24">
        <v>2024.11</v>
      </c>
      <c r="H34" s="24">
        <v>20</v>
      </c>
      <c r="I34" s="24">
        <v>7</v>
      </c>
      <c r="J34" s="24" t="s">
        <v>153</v>
      </c>
      <c r="K34" s="15" t="s">
        <v>351</v>
      </c>
      <c r="L34" s="67" t="s">
        <v>695</v>
      </c>
      <c r="M34" s="59" t="s">
        <v>353</v>
      </c>
      <c r="N34" s="70" t="s">
        <v>354</v>
      </c>
      <c r="O34" s="24" t="s">
        <v>355</v>
      </c>
      <c r="P34" s="24" t="s">
        <v>73</v>
      </c>
    </row>
    <row r="35" s="48" customFormat="1" ht="24" spans="1:16">
      <c r="A35" s="24" t="s">
        <v>335</v>
      </c>
      <c r="B35" s="24" t="s">
        <v>21</v>
      </c>
      <c r="C35" s="24" t="s">
        <v>348</v>
      </c>
      <c r="D35" s="24" t="s">
        <v>349</v>
      </c>
      <c r="E35" s="24" t="s">
        <v>350</v>
      </c>
      <c r="F35" s="24">
        <v>7</v>
      </c>
      <c r="G35" s="24">
        <v>2024.11</v>
      </c>
      <c r="H35" s="24">
        <v>20</v>
      </c>
      <c r="I35" s="24">
        <v>7</v>
      </c>
      <c r="J35" s="24" t="s">
        <v>153</v>
      </c>
      <c r="K35" s="15" t="s">
        <v>356</v>
      </c>
      <c r="L35" s="67" t="s">
        <v>357</v>
      </c>
      <c r="M35" s="59" t="s">
        <v>353</v>
      </c>
      <c r="N35" s="70" t="s">
        <v>354</v>
      </c>
      <c r="O35" s="24" t="s">
        <v>355</v>
      </c>
      <c r="P35" s="24" t="s">
        <v>73</v>
      </c>
    </row>
    <row r="36" s="48" customFormat="1" ht="24" spans="1:16">
      <c r="A36" s="24" t="s">
        <v>335</v>
      </c>
      <c r="B36" s="24" t="s">
        <v>21</v>
      </c>
      <c r="C36" s="24" t="s">
        <v>348</v>
      </c>
      <c r="D36" s="24" t="s">
        <v>349</v>
      </c>
      <c r="E36" s="24" t="s">
        <v>350</v>
      </c>
      <c r="F36" s="24">
        <v>7</v>
      </c>
      <c r="G36" s="24">
        <v>2024.11</v>
      </c>
      <c r="H36" s="24">
        <v>20</v>
      </c>
      <c r="I36" s="24">
        <v>7</v>
      </c>
      <c r="J36" s="24" t="s">
        <v>153</v>
      </c>
      <c r="K36" s="15" t="s">
        <v>358</v>
      </c>
      <c r="L36" s="67" t="s">
        <v>359</v>
      </c>
      <c r="M36" s="59" t="s">
        <v>353</v>
      </c>
      <c r="N36" s="70" t="s">
        <v>354</v>
      </c>
      <c r="O36" s="24" t="s">
        <v>355</v>
      </c>
      <c r="P36" s="24" t="s">
        <v>73</v>
      </c>
    </row>
    <row r="37" s="48" customFormat="1" ht="24" spans="1:16">
      <c r="A37" s="24" t="s">
        <v>335</v>
      </c>
      <c r="B37" s="24" t="s">
        <v>21</v>
      </c>
      <c r="C37" s="24" t="s">
        <v>348</v>
      </c>
      <c r="D37" s="24" t="s">
        <v>349</v>
      </c>
      <c r="E37" s="24" t="s">
        <v>350</v>
      </c>
      <c r="F37" s="24">
        <v>7</v>
      </c>
      <c r="G37" s="24">
        <v>2024.11</v>
      </c>
      <c r="H37" s="24">
        <v>20</v>
      </c>
      <c r="I37" s="24">
        <v>7</v>
      </c>
      <c r="J37" s="24" t="s">
        <v>153</v>
      </c>
      <c r="K37" s="15" t="s">
        <v>360</v>
      </c>
      <c r="L37" s="67" t="s">
        <v>361</v>
      </c>
      <c r="M37" s="59" t="s">
        <v>353</v>
      </c>
      <c r="N37" s="70" t="s">
        <v>354</v>
      </c>
      <c r="O37" s="24" t="s">
        <v>355</v>
      </c>
      <c r="P37" s="24" t="s">
        <v>73</v>
      </c>
    </row>
    <row r="38" s="48" customFormat="1" ht="24" spans="1:16">
      <c r="A38" s="24" t="s">
        <v>335</v>
      </c>
      <c r="B38" s="24" t="s">
        <v>21</v>
      </c>
      <c r="C38" s="24" t="s">
        <v>348</v>
      </c>
      <c r="D38" s="24" t="s">
        <v>349</v>
      </c>
      <c r="E38" s="24" t="s">
        <v>350</v>
      </c>
      <c r="F38" s="24">
        <v>7</v>
      </c>
      <c r="G38" s="24">
        <v>2024.11</v>
      </c>
      <c r="H38" s="24">
        <v>20</v>
      </c>
      <c r="I38" s="24">
        <v>7</v>
      </c>
      <c r="J38" s="24" t="s">
        <v>153</v>
      </c>
      <c r="K38" s="15" t="s">
        <v>362</v>
      </c>
      <c r="L38" s="67" t="s">
        <v>363</v>
      </c>
      <c r="M38" s="59" t="s">
        <v>353</v>
      </c>
      <c r="N38" s="70" t="s">
        <v>354</v>
      </c>
      <c r="O38" s="24" t="s">
        <v>355</v>
      </c>
      <c r="P38" s="24" t="s">
        <v>73</v>
      </c>
    </row>
    <row r="39" s="48" customFormat="1" ht="24" spans="1:16">
      <c r="A39" s="24" t="s">
        <v>335</v>
      </c>
      <c r="B39" s="24" t="s">
        <v>21</v>
      </c>
      <c r="C39" s="24" t="s">
        <v>348</v>
      </c>
      <c r="D39" s="24" t="s">
        <v>349</v>
      </c>
      <c r="E39" s="24" t="s">
        <v>350</v>
      </c>
      <c r="F39" s="24">
        <v>7</v>
      </c>
      <c r="G39" s="24">
        <v>2024.11</v>
      </c>
      <c r="H39" s="24">
        <v>20</v>
      </c>
      <c r="I39" s="24">
        <v>7</v>
      </c>
      <c r="J39" s="24" t="s">
        <v>153</v>
      </c>
      <c r="K39" s="71" t="s">
        <v>364</v>
      </c>
      <c r="L39" s="72" t="s">
        <v>365</v>
      </c>
      <c r="M39" s="73" t="s">
        <v>353</v>
      </c>
      <c r="N39" s="74" t="s">
        <v>354</v>
      </c>
      <c r="O39" s="51" t="s">
        <v>355</v>
      </c>
      <c r="P39" s="51" t="s">
        <v>73</v>
      </c>
    </row>
    <row r="40" s="48" customFormat="1" ht="36" spans="1:17">
      <c r="A40" s="24" t="s">
        <v>366</v>
      </c>
      <c r="B40" s="13" t="s">
        <v>21</v>
      </c>
      <c r="C40" s="13" t="s">
        <v>367</v>
      </c>
      <c r="D40" s="13" t="s">
        <v>368</v>
      </c>
      <c r="E40" s="13" t="s">
        <v>369</v>
      </c>
      <c r="F40" s="13">
        <v>11</v>
      </c>
      <c r="G40" s="13">
        <v>2025.2</v>
      </c>
      <c r="H40" s="13">
        <v>22</v>
      </c>
      <c r="I40" s="13">
        <v>11</v>
      </c>
      <c r="J40" s="13" t="s">
        <v>278</v>
      </c>
      <c r="K40" s="19" t="s">
        <v>370</v>
      </c>
      <c r="L40" s="19" t="s">
        <v>371</v>
      </c>
      <c r="M40" s="19" t="s">
        <v>402</v>
      </c>
      <c r="N40" s="19" t="s">
        <v>372</v>
      </c>
      <c r="O40" s="24" t="s">
        <v>72</v>
      </c>
      <c r="P40" s="24" t="s">
        <v>73</v>
      </c>
      <c r="Q40" s="24"/>
    </row>
    <row r="41" s="46" customFormat="1" ht="12" spans="1:19">
      <c r="A41" s="24" t="s">
        <v>366</v>
      </c>
      <c r="B41" s="13" t="s">
        <v>21</v>
      </c>
      <c r="C41" s="13" t="s">
        <v>367</v>
      </c>
      <c r="D41" s="13" t="s">
        <v>368</v>
      </c>
      <c r="E41" s="13" t="s">
        <v>369</v>
      </c>
      <c r="F41" s="13">
        <v>11</v>
      </c>
      <c r="G41" s="13">
        <v>2025.2</v>
      </c>
      <c r="H41" s="13">
        <v>22</v>
      </c>
      <c r="I41" s="13">
        <v>11</v>
      </c>
      <c r="J41" s="13" t="s">
        <v>278</v>
      </c>
      <c r="K41" s="19" t="s">
        <v>377</v>
      </c>
      <c r="L41" s="19" t="s">
        <v>378</v>
      </c>
      <c r="M41" s="19" t="s">
        <v>402</v>
      </c>
      <c r="N41" s="19" t="s">
        <v>372</v>
      </c>
      <c r="O41" s="24"/>
      <c r="P41" s="24" t="s">
        <v>73</v>
      </c>
      <c r="Q41" s="14"/>
      <c r="R41" s="77"/>
      <c r="S41" s="15"/>
    </row>
    <row r="42" s="49" customFormat="1" ht="24" spans="1:19">
      <c r="A42" s="24" t="s">
        <v>366</v>
      </c>
      <c r="B42" s="13" t="s">
        <v>21</v>
      </c>
      <c r="C42" s="13" t="s">
        <v>367</v>
      </c>
      <c r="D42" s="13" t="s">
        <v>368</v>
      </c>
      <c r="E42" s="13" t="s">
        <v>369</v>
      </c>
      <c r="F42" s="13">
        <v>11</v>
      </c>
      <c r="G42" s="13">
        <v>2025.2</v>
      </c>
      <c r="H42" s="13">
        <v>22</v>
      </c>
      <c r="I42" s="13">
        <v>11</v>
      </c>
      <c r="J42" s="13" t="s">
        <v>278</v>
      </c>
      <c r="K42" s="19" t="s">
        <v>394</v>
      </c>
      <c r="L42" s="19" t="s">
        <v>395</v>
      </c>
      <c r="M42" s="19" t="s">
        <v>36</v>
      </c>
      <c r="N42" s="19" t="s">
        <v>160</v>
      </c>
      <c r="O42" s="24"/>
      <c r="P42" s="24" t="s">
        <v>73</v>
      </c>
      <c r="Q42" s="14"/>
      <c r="R42" s="77"/>
      <c r="S42" s="15"/>
    </row>
    <row r="43" s="49" customFormat="1" ht="72" spans="1:19">
      <c r="A43" s="50" t="s">
        <v>62</v>
      </c>
      <c r="B43" s="50" t="s">
        <v>63</v>
      </c>
      <c r="C43" s="50" t="s">
        <v>64</v>
      </c>
      <c r="D43" s="15" t="s">
        <v>80</v>
      </c>
      <c r="E43" s="15" t="s">
        <v>81</v>
      </c>
      <c r="F43" s="15">
        <v>1</v>
      </c>
      <c r="G43" s="56">
        <v>2024.7</v>
      </c>
      <c r="H43" s="15">
        <v>19</v>
      </c>
      <c r="I43" s="15">
        <v>1</v>
      </c>
      <c r="J43" s="24" t="s">
        <v>67</v>
      </c>
      <c r="K43" s="19" t="s">
        <v>809</v>
      </c>
      <c r="L43" s="19" t="s">
        <v>810</v>
      </c>
      <c r="M43" s="14" t="s">
        <v>36</v>
      </c>
      <c r="N43" s="14" t="s">
        <v>160</v>
      </c>
      <c r="O43" s="75" t="s">
        <v>439</v>
      </c>
      <c r="P43" s="75" t="s">
        <v>440</v>
      </c>
      <c r="Q43" s="14"/>
      <c r="R43" s="14"/>
      <c r="S43" s="15"/>
    </row>
    <row r="44" s="49" customFormat="1" ht="24" spans="1:19">
      <c r="A44" s="50" t="s">
        <v>62</v>
      </c>
      <c r="B44" s="50" t="s">
        <v>63</v>
      </c>
      <c r="C44" s="50" t="s">
        <v>64</v>
      </c>
      <c r="D44" s="15" t="s">
        <v>811</v>
      </c>
      <c r="E44" s="15" t="s">
        <v>812</v>
      </c>
      <c r="F44" s="14">
        <v>1</v>
      </c>
      <c r="G44" s="57">
        <v>2025.2</v>
      </c>
      <c r="H44" s="14">
        <v>27</v>
      </c>
      <c r="I44" s="14">
        <v>1</v>
      </c>
      <c r="J44" s="24" t="s">
        <v>67</v>
      </c>
      <c r="K44" s="19" t="s">
        <v>813</v>
      </c>
      <c r="L44" s="19" t="s">
        <v>814</v>
      </c>
      <c r="M44" s="15" t="s">
        <v>36</v>
      </c>
      <c r="N44" s="14" t="s">
        <v>160</v>
      </c>
      <c r="O44" s="75" t="s">
        <v>439</v>
      </c>
      <c r="P44" s="75" t="s">
        <v>440</v>
      </c>
      <c r="Q44" s="14"/>
      <c r="R44" s="14"/>
      <c r="S44" s="15"/>
    </row>
    <row r="45" s="49" customFormat="1" ht="108" spans="1:19">
      <c r="A45" s="50" t="s">
        <v>62</v>
      </c>
      <c r="B45" s="50" t="s">
        <v>63</v>
      </c>
      <c r="C45" s="50" t="s">
        <v>64</v>
      </c>
      <c r="D45" s="13" t="s">
        <v>603</v>
      </c>
      <c r="E45" s="13" t="s">
        <v>604</v>
      </c>
      <c r="F45" s="13">
        <v>1</v>
      </c>
      <c r="G45" s="13">
        <v>2024.7</v>
      </c>
      <c r="H45" s="13">
        <v>31</v>
      </c>
      <c r="I45" s="13">
        <v>1</v>
      </c>
      <c r="J45" s="24" t="s">
        <v>67</v>
      </c>
      <c r="K45" s="19" t="s">
        <v>815</v>
      </c>
      <c r="L45" s="19" t="s">
        <v>816</v>
      </c>
      <c r="M45" s="15" t="s">
        <v>36</v>
      </c>
      <c r="N45" s="30" t="s">
        <v>817</v>
      </c>
      <c r="O45" s="75" t="s">
        <v>439</v>
      </c>
      <c r="P45" s="75" t="s">
        <v>440</v>
      </c>
      <c r="Q45" s="14"/>
      <c r="R45" s="14"/>
      <c r="S45" s="15"/>
    </row>
    <row r="46" s="49" customFormat="1" ht="24" spans="1:19">
      <c r="A46" s="50" t="s">
        <v>62</v>
      </c>
      <c r="B46" s="50" t="s">
        <v>63</v>
      </c>
      <c r="C46" s="50" t="s">
        <v>64</v>
      </c>
      <c r="D46" s="13" t="s">
        <v>603</v>
      </c>
      <c r="E46" s="13" t="s">
        <v>604</v>
      </c>
      <c r="F46" s="13">
        <v>1</v>
      </c>
      <c r="G46" s="13">
        <v>2024.7</v>
      </c>
      <c r="H46" s="13">
        <v>31</v>
      </c>
      <c r="I46" s="13">
        <v>1</v>
      </c>
      <c r="J46" s="24" t="s">
        <v>67</v>
      </c>
      <c r="K46" s="19" t="s">
        <v>818</v>
      </c>
      <c r="L46" s="19" t="s">
        <v>819</v>
      </c>
      <c r="M46" s="15" t="s">
        <v>36</v>
      </c>
      <c r="N46" s="30" t="s">
        <v>817</v>
      </c>
      <c r="O46" s="75" t="s">
        <v>439</v>
      </c>
      <c r="P46" s="75" t="s">
        <v>440</v>
      </c>
      <c r="Q46" s="14"/>
      <c r="R46" s="14"/>
      <c r="S46" s="15"/>
    </row>
    <row r="47" s="49" customFormat="1" ht="36" spans="1:19">
      <c r="A47" s="50" t="s">
        <v>62</v>
      </c>
      <c r="B47" s="50" t="s">
        <v>63</v>
      </c>
      <c r="C47" s="50" t="s">
        <v>64</v>
      </c>
      <c r="D47" s="24" t="s">
        <v>704</v>
      </c>
      <c r="E47" s="24" t="s">
        <v>705</v>
      </c>
      <c r="F47" s="24">
        <v>1</v>
      </c>
      <c r="G47" s="24">
        <v>2025.4</v>
      </c>
      <c r="H47" s="24">
        <v>8</v>
      </c>
      <c r="I47" s="24">
        <v>1</v>
      </c>
      <c r="J47" s="24" t="s">
        <v>67</v>
      </c>
      <c r="K47" s="19" t="s">
        <v>820</v>
      </c>
      <c r="L47" s="19" t="s">
        <v>821</v>
      </c>
      <c r="M47" s="15" t="s">
        <v>36</v>
      </c>
      <c r="N47" s="15" t="s">
        <v>133</v>
      </c>
      <c r="O47" s="75" t="s">
        <v>439</v>
      </c>
      <c r="P47" s="75" t="s">
        <v>440</v>
      </c>
      <c r="Q47" s="14"/>
      <c r="R47" s="14"/>
      <c r="S47" s="15"/>
    </row>
    <row r="48" s="49" customFormat="1" ht="36" spans="1:19">
      <c r="A48" s="50" t="s">
        <v>62</v>
      </c>
      <c r="B48" s="50" t="s">
        <v>63</v>
      </c>
      <c r="C48" s="50" t="s">
        <v>64</v>
      </c>
      <c r="D48" s="24" t="s">
        <v>822</v>
      </c>
      <c r="E48" s="24" t="s">
        <v>823</v>
      </c>
      <c r="F48" s="24">
        <v>1</v>
      </c>
      <c r="G48" s="52">
        <v>2025.4</v>
      </c>
      <c r="H48" s="24">
        <v>14</v>
      </c>
      <c r="I48" s="24">
        <v>1</v>
      </c>
      <c r="J48" s="24" t="s">
        <v>67</v>
      </c>
      <c r="K48" s="19" t="s">
        <v>824</v>
      </c>
      <c r="L48" s="19" t="s">
        <v>825</v>
      </c>
      <c r="M48" s="15" t="s">
        <v>36</v>
      </c>
      <c r="N48" s="15" t="s">
        <v>133</v>
      </c>
      <c r="O48" s="75" t="s">
        <v>439</v>
      </c>
      <c r="P48" s="75" t="s">
        <v>440</v>
      </c>
      <c r="Q48" s="14"/>
      <c r="R48" s="14"/>
      <c r="S48" s="15"/>
    </row>
    <row r="49" s="46" customFormat="1" ht="12" spans="1:19">
      <c r="A49" s="52" t="s">
        <v>149</v>
      </c>
      <c r="B49" s="13" t="s">
        <v>21</v>
      </c>
      <c r="C49" s="13" t="s">
        <v>441</v>
      </c>
      <c r="D49" s="13" t="s">
        <v>172</v>
      </c>
      <c r="E49" s="13" t="s">
        <v>442</v>
      </c>
      <c r="F49" s="13">
        <v>2</v>
      </c>
      <c r="G49" s="13">
        <v>2025.3</v>
      </c>
      <c r="H49" s="13">
        <v>20</v>
      </c>
      <c r="I49" s="13">
        <v>2</v>
      </c>
      <c r="J49" s="24" t="s">
        <v>153</v>
      </c>
      <c r="K49" s="19" t="s">
        <v>826</v>
      </c>
      <c r="L49" s="19" t="s">
        <v>827</v>
      </c>
      <c r="M49" s="15" t="s">
        <v>36</v>
      </c>
      <c r="N49" s="15" t="s">
        <v>160</v>
      </c>
      <c r="O49" s="75" t="s">
        <v>439</v>
      </c>
      <c r="P49" s="75" t="s">
        <v>440</v>
      </c>
      <c r="Q49" s="13"/>
      <c r="R49" s="13"/>
      <c r="S49" s="13"/>
    </row>
    <row r="50" s="46" customFormat="1" ht="12" spans="1:19">
      <c r="A50" s="52" t="s">
        <v>149</v>
      </c>
      <c r="B50" s="13" t="s">
        <v>21</v>
      </c>
      <c r="C50" s="13" t="s">
        <v>441</v>
      </c>
      <c r="D50" s="13" t="s">
        <v>172</v>
      </c>
      <c r="E50" s="13" t="s">
        <v>442</v>
      </c>
      <c r="F50" s="13">
        <v>2</v>
      </c>
      <c r="G50" s="13">
        <v>2025.3</v>
      </c>
      <c r="H50" s="13">
        <v>20</v>
      </c>
      <c r="I50" s="13">
        <v>2</v>
      </c>
      <c r="J50" s="24" t="s">
        <v>153</v>
      </c>
      <c r="K50" s="19" t="s">
        <v>828</v>
      </c>
      <c r="L50" s="19" t="s">
        <v>829</v>
      </c>
      <c r="M50" s="15" t="s">
        <v>830</v>
      </c>
      <c r="N50" s="15" t="s">
        <v>160</v>
      </c>
      <c r="O50" s="75" t="s">
        <v>439</v>
      </c>
      <c r="P50" s="75" t="s">
        <v>440</v>
      </c>
      <c r="Q50" s="13"/>
      <c r="R50" s="13"/>
      <c r="S50" s="13"/>
    </row>
    <row r="51" s="46" customFormat="1" ht="48" spans="1:19">
      <c r="A51" s="24" t="s">
        <v>170</v>
      </c>
      <c r="B51" s="13" t="s">
        <v>21</v>
      </c>
      <c r="C51" s="13" t="s">
        <v>171</v>
      </c>
      <c r="D51" s="13" t="s">
        <v>172</v>
      </c>
      <c r="E51" s="13" t="s">
        <v>173</v>
      </c>
      <c r="F51" s="13">
        <v>2</v>
      </c>
      <c r="G51" s="13">
        <v>2025.3</v>
      </c>
      <c r="H51" s="13">
        <v>18</v>
      </c>
      <c r="I51" s="13">
        <v>2</v>
      </c>
      <c r="J51" s="24" t="s">
        <v>153</v>
      </c>
      <c r="K51" s="19" t="s">
        <v>831</v>
      </c>
      <c r="L51" s="19" t="s">
        <v>832</v>
      </c>
      <c r="M51" s="15" t="s">
        <v>36</v>
      </c>
      <c r="N51" s="15" t="s">
        <v>817</v>
      </c>
      <c r="O51" s="75" t="s">
        <v>439</v>
      </c>
      <c r="P51" s="75" t="s">
        <v>440</v>
      </c>
      <c r="Q51" s="14"/>
      <c r="R51" s="14"/>
      <c r="S51" s="15"/>
    </row>
    <row r="52" s="46" customFormat="1" ht="36" spans="1:19">
      <c r="A52" s="24" t="s">
        <v>170</v>
      </c>
      <c r="B52" s="13" t="s">
        <v>21</v>
      </c>
      <c r="C52" s="13" t="s">
        <v>171</v>
      </c>
      <c r="D52" s="13" t="s">
        <v>172</v>
      </c>
      <c r="E52" s="13" t="s">
        <v>173</v>
      </c>
      <c r="F52" s="13">
        <v>2</v>
      </c>
      <c r="G52" s="13">
        <v>2025.3</v>
      </c>
      <c r="H52" s="13">
        <v>18</v>
      </c>
      <c r="I52" s="13">
        <v>2</v>
      </c>
      <c r="J52" s="24" t="s">
        <v>153</v>
      </c>
      <c r="K52" s="19" t="s">
        <v>833</v>
      </c>
      <c r="L52" s="19" t="s">
        <v>834</v>
      </c>
      <c r="M52" s="15" t="s">
        <v>36</v>
      </c>
      <c r="N52" s="15" t="s">
        <v>817</v>
      </c>
      <c r="O52" s="75" t="s">
        <v>439</v>
      </c>
      <c r="P52" s="75" t="s">
        <v>440</v>
      </c>
      <c r="Q52" s="14"/>
      <c r="R52" s="14"/>
      <c r="S52" s="15"/>
    </row>
    <row r="53" s="46" customFormat="1" ht="24" spans="1:19">
      <c r="A53" s="24" t="s">
        <v>170</v>
      </c>
      <c r="B53" s="13" t="s">
        <v>63</v>
      </c>
      <c r="C53" s="13" t="s">
        <v>171</v>
      </c>
      <c r="D53" s="13" t="s">
        <v>454</v>
      </c>
      <c r="E53" s="13" t="s">
        <v>195</v>
      </c>
      <c r="F53" s="13">
        <v>3</v>
      </c>
      <c r="G53" s="13">
        <v>2025.4</v>
      </c>
      <c r="H53" s="13">
        <v>9</v>
      </c>
      <c r="I53" s="13">
        <v>3</v>
      </c>
      <c r="J53" s="24" t="s">
        <v>153</v>
      </c>
      <c r="K53" s="19" t="s">
        <v>835</v>
      </c>
      <c r="L53" s="19" t="s">
        <v>836</v>
      </c>
      <c r="M53" s="15" t="s">
        <v>36</v>
      </c>
      <c r="N53" s="15" t="s">
        <v>817</v>
      </c>
      <c r="O53" s="75" t="s">
        <v>439</v>
      </c>
      <c r="P53" s="75" t="s">
        <v>440</v>
      </c>
      <c r="Q53" s="14"/>
      <c r="R53" s="14"/>
      <c r="S53" s="15"/>
    </row>
    <row r="54" s="46" customFormat="1" ht="12" spans="1:19">
      <c r="A54" s="24" t="s">
        <v>170</v>
      </c>
      <c r="B54" s="13"/>
      <c r="C54" s="13" t="s">
        <v>171</v>
      </c>
      <c r="D54" s="13"/>
      <c r="E54" s="13"/>
      <c r="F54" s="13"/>
      <c r="G54" s="13"/>
      <c r="H54" s="13"/>
      <c r="I54" s="13"/>
      <c r="J54" s="24" t="s">
        <v>153</v>
      </c>
      <c r="K54" s="19" t="s">
        <v>837</v>
      </c>
      <c r="L54" s="19" t="s">
        <v>838</v>
      </c>
      <c r="M54" s="15" t="s">
        <v>36</v>
      </c>
      <c r="N54" s="15" t="s">
        <v>817</v>
      </c>
      <c r="O54" s="75" t="s">
        <v>439</v>
      </c>
      <c r="P54" s="75" t="s">
        <v>440</v>
      </c>
      <c r="Q54" s="14"/>
      <c r="R54" s="14"/>
      <c r="S54" s="15"/>
    </row>
    <row r="55" s="46" customFormat="1" ht="24" spans="1:19">
      <c r="A55" s="51" t="s">
        <v>217</v>
      </c>
      <c r="B55" s="51" t="s">
        <v>21</v>
      </c>
      <c r="C55" s="51" t="s">
        <v>218</v>
      </c>
      <c r="D55" s="51" t="s">
        <v>219</v>
      </c>
      <c r="E55" s="51" t="s">
        <v>220</v>
      </c>
      <c r="F55" s="51">
        <v>8</v>
      </c>
      <c r="G55" s="24">
        <v>2024.7</v>
      </c>
      <c r="H55" s="24">
        <v>31</v>
      </c>
      <c r="I55" s="24">
        <v>8</v>
      </c>
      <c r="J55" s="24" t="s">
        <v>25</v>
      </c>
      <c r="K55" s="19" t="s">
        <v>839</v>
      </c>
      <c r="L55" s="19" t="s">
        <v>840</v>
      </c>
      <c r="M55" s="15" t="s">
        <v>36</v>
      </c>
      <c r="N55" s="15" t="s">
        <v>817</v>
      </c>
      <c r="O55" s="75" t="s">
        <v>439</v>
      </c>
      <c r="P55" s="75" t="s">
        <v>440</v>
      </c>
      <c r="Q55" s="14"/>
      <c r="R55" s="14"/>
      <c r="S55" s="15"/>
    </row>
    <row r="56" s="46" customFormat="1" ht="24" spans="1:19">
      <c r="A56" s="51" t="s">
        <v>217</v>
      </c>
      <c r="B56" s="51" t="s">
        <v>21</v>
      </c>
      <c r="C56" s="51" t="s">
        <v>218</v>
      </c>
      <c r="D56" s="51" t="s">
        <v>219</v>
      </c>
      <c r="E56" s="51" t="s">
        <v>220</v>
      </c>
      <c r="F56" s="51">
        <v>8</v>
      </c>
      <c r="G56" s="24">
        <v>2024.7</v>
      </c>
      <c r="H56" s="24">
        <v>31</v>
      </c>
      <c r="I56" s="24">
        <v>8</v>
      </c>
      <c r="J56" s="24" t="s">
        <v>25</v>
      </c>
      <c r="K56" s="19" t="s">
        <v>841</v>
      </c>
      <c r="L56" s="19" t="s">
        <v>630</v>
      </c>
      <c r="M56" s="15" t="s">
        <v>36</v>
      </c>
      <c r="N56" s="15" t="s">
        <v>817</v>
      </c>
      <c r="O56" s="75" t="s">
        <v>439</v>
      </c>
      <c r="P56" s="75" t="s">
        <v>440</v>
      </c>
      <c r="Q56" s="14"/>
      <c r="R56" s="14"/>
      <c r="S56" s="15"/>
    </row>
    <row r="57" s="46" customFormat="1" ht="24" spans="1:19">
      <c r="A57" s="51" t="s">
        <v>217</v>
      </c>
      <c r="B57" s="51" t="s">
        <v>21</v>
      </c>
      <c r="C57" s="51" t="s">
        <v>218</v>
      </c>
      <c r="D57" s="51" t="s">
        <v>219</v>
      </c>
      <c r="E57" s="51" t="s">
        <v>220</v>
      </c>
      <c r="F57" s="51">
        <v>8</v>
      </c>
      <c r="G57" s="24">
        <v>2024.7</v>
      </c>
      <c r="H57" s="24">
        <v>31</v>
      </c>
      <c r="I57" s="24">
        <v>8</v>
      </c>
      <c r="J57" s="24" t="s">
        <v>25</v>
      </c>
      <c r="K57" s="19" t="s">
        <v>842</v>
      </c>
      <c r="L57" s="19" t="s">
        <v>843</v>
      </c>
      <c r="M57" s="15" t="s">
        <v>36</v>
      </c>
      <c r="N57" s="15" t="s">
        <v>817</v>
      </c>
      <c r="O57" s="75" t="s">
        <v>439</v>
      </c>
      <c r="P57" s="75" t="s">
        <v>440</v>
      </c>
      <c r="Q57" s="14"/>
      <c r="R57" s="14"/>
      <c r="S57" s="15"/>
    </row>
    <row r="58" s="46" customFormat="1" ht="24" spans="1:19">
      <c r="A58" s="51" t="s">
        <v>217</v>
      </c>
      <c r="B58" s="51" t="s">
        <v>21</v>
      </c>
      <c r="C58" s="51" t="s">
        <v>218</v>
      </c>
      <c r="D58" s="51" t="s">
        <v>219</v>
      </c>
      <c r="E58" s="51" t="s">
        <v>220</v>
      </c>
      <c r="F58" s="51">
        <v>8</v>
      </c>
      <c r="G58" s="24">
        <v>2024.7</v>
      </c>
      <c r="H58" s="24">
        <v>31</v>
      </c>
      <c r="I58" s="24">
        <v>8</v>
      </c>
      <c r="J58" s="24" t="s">
        <v>25</v>
      </c>
      <c r="K58" s="19" t="s">
        <v>844</v>
      </c>
      <c r="L58" s="19" t="s">
        <v>630</v>
      </c>
      <c r="M58" s="15" t="s">
        <v>36</v>
      </c>
      <c r="N58" s="15" t="s">
        <v>817</v>
      </c>
      <c r="O58" s="75" t="s">
        <v>439</v>
      </c>
      <c r="P58" s="75" t="s">
        <v>440</v>
      </c>
      <c r="Q58" s="14"/>
      <c r="R58" s="14"/>
      <c r="S58" s="15"/>
    </row>
    <row r="59" s="46" customFormat="1" ht="24" spans="1:19">
      <c r="A59" s="51" t="s">
        <v>217</v>
      </c>
      <c r="B59" s="51" t="s">
        <v>21</v>
      </c>
      <c r="C59" s="51" t="s">
        <v>218</v>
      </c>
      <c r="D59" s="51" t="s">
        <v>219</v>
      </c>
      <c r="E59" s="51" t="s">
        <v>220</v>
      </c>
      <c r="F59" s="51">
        <v>8</v>
      </c>
      <c r="G59" s="24">
        <v>2024.7</v>
      </c>
      <c r="H59" s="24">
        <v>31</v>
      </c>
      <c r="I59" s="24">
        <v>8</v>
      </c>
      <c r="J59" s="24" t="s">
        <v>25</v>
      </c>
      <c r="K59" s="19" t="s">
        <v>845</v>
      </c>
      <c r="L59" s="19" t="s">
        <v>466</v>
      </c>
      <c r="M59" s="15" t="s">
        <v>36</v>
      </c>
      <c r="N59" s="15" t="s">
        <v>817</v>
      </c>
      <c r="O59" s="75" t="s">
        <v>439</v>
      </c>
      <c r="P59" s="75" t="s">
        <v>440</v>
      </c>
      <c r="Q59" s="14"/>
      <c r="R59" s="14"/>
      <c r="S59" s="15"/>
    </row>
    <row r="60" s="46" customFormat="1" ht="36" spans="1:19">
      <c r="A60" s="51" t="s">
        <v>217</v>
      </c>
      <c r="B60" s="51" t="s">
        <v>21</v>
      </c>
      <c r="C60" s="51" t="s">
        <v>218</v>
      </c>
      <c r="D60" s="51" t="s">
        <v>219</v>
      </c>
      <c r="E60" s="51" t="s">
        <v>220</v>
      </c>
      <c r="F60" s="51">
        <v>8</v>
      </c>
      <c r="G60" s="24">
        <v>2024.7</v>
      </c>
      <c r="H60" s="24">
        <v>31</v>
      </c>
      <c r="I60" s="24">
        <v>8</v>
      </c>
      <c r="J60" s="24" t="s">
        <v>25</v>
      </c>
      <c r="K60" s="19" t="s">
        <v>846</v>
      </c>
      <c r="L60" s="19" t="s">
        <v>847</v>
      </c>
      <c r="M60" s="15" t="s">
        <v>36</v>
      </c>
      <c r="N60" s="15" t="s">
        <v>817</v>
      </c>
      <c r="O60" s="75" t="s">
        <v>439</v>
      </c>
      <c r="P60" s="75" t="s">
        <v>440</v>
      </c>
      <c r="Q60" s="14"/>
      <c r="R60" s="14"/>
      <c r="S60" s="15"/>
    </row>
    <row r="61" s="46" customFormat="1" ht="48" spans="1:19">
      <c r="A61" s="51" t="s">
        <v>217</v>
      </c>
      <c r="B61" s="51" t="s">
        <v>21</v>
      </c>
      <c r="C61" s="51" t="s">
        <v>218</v>
      </c>
      <c r="D61" s="51" t="s">
        <v>219</v>
      </c>
      <c r="E61" s="51" t="s">
        <v>220</v>
      </c>
      <c r="F61" s="51">
        <v>8</v>
      </c>
      <c r="G61" s="24">
        <v>2024.7</v>
      </c>
      <c r="H61" s="24">
        <v>31</v>
      </c>
      <c r="I61" s="24">
        <v>8</v>
      </c>
      <c r="J61" s="24" t="s">
        <v>25</v>
      </c>
      <c r="K61" s="19" t="s">
        <v>848</v>
      </c>
      <c r="L61" s="19" t="s">
        <v>849</v>
      </c>
      <c r="M61" s="15" t="s">
        <v>36</v>
      </c>
      <c r="N61" s="15" t="s">
        <v>817</v>
      </c>
      <c r="O61" s="75" t="s">
        <v>439</v>
      </c>
      <c r="P61" s="75" t="s">
        <v>440</v>
      </c>
      <c r="Q61" s="14"/>
      <c r="R61" s="14"/>
      <c r="S61" s="15"/>
    </row>
    <row r="62" s="46" customFormat="1" ht="60" spans="1:19">
      <c r="A62" s="51" t="s">
        <v>217</v>
      </c>
      <c r="B62" s="51" t="s">
        <v>21</v>
      </c>
      <c r="C62" s="51" t="s">
        <v>218</v>
      </c>
      <c r="D62" s="51" t="s">
        <v>219</v>
      </c>
      <c r="E62" s="51" t="s">
        <v>220</v>
      </c>
      <c r="F62" s="51">
        <v>8</v>
      </c>
      <c r="G62" s="24">
        <v>2024.7</v>
      </c>
      <c r="H62" s="24">
        <v>31</v>
      </c>
      <c r="I62" s="24">
        <v>8</v>
      </c>
      <c r="J62" s="24" t="s">
        <v>25</v>
      </c>
      <c r="K62" s="19" t="s">
        <v>850</v>
      </c>
      <c r="L62" s="19" t="s">
        <v>851</v>
      </c>
      <c r="M62" s="15" t="s">
        <v>36</v>
      </c>
      <c r="N62" s="15" t="s">
        <v>817</v>
      </c>
      <c r="O62" s="75" t="s">
        <v>439</v>
      </c>
      <c r="P62" s="75" t="s">
        <v>440</v>
      </c>
      <c r="Q62" s="14"/>
      <c r="R62" s="14"/>
      <c r="S62" s="15"/>
    </row>
    <row r="63" s="46" customFormat="1" ht="24" spans="1:19">
      <c r="A63" s="51" t="s">
        <v>217</v>
      </c>
      <c r="B63" s="51" t="s">
        <v>21</v>
      </c>
      <c r="C63" s="51" t="s">
        <v>218</v>
      </c>
      <c r="D63" s="51" t="s">
        <v>219</v>
      </c>
      <c r="E63" s="51" t="s">
        <v>220</v>
      </c>
      <c r="F63" s="51">
        <v>8</v>
      </c>
      <c r="G63" s="24">
        <v>2024.7</v>
      </c>
      <c r="H63" s="24">
        <v>31</v>
      </c>
      <c r="I63" s="24">
        <v>8</v>
      </c>
      <c r="J63" s="24" t="s">
        <v>25</v>
      </c>
      <c r="K63" s="19" t="s">
        <v>852</v>
      </c>
      <c r="L63" s="19" t="s">
        <v>853</v>
      </c>
      <c r="M63" s="15" t="s">
        <v>36</v>
      </c>
      <c r="N63" s="15" t="s">
        <v>817</v>
      </c>
      <c r="O63" s="75" t="s">
        <v>439</v>
      </c>
      <c r="P63" s="75" t="s">
        <v>440</v>
      </c>
      <c r="Q63" s="14"/>
      <c r="R63" s="14"/>
      <c r="S63" s="15"/>
    </row>
    <row r="64" s="46" customFormat="1" ht="24" spans="1:19">
      <c r="A64" s="51" t="s">
        <v>217</v>
      </c>
      <c r="B64" s="51" t="s">
        <v>21</v>
      </c>
      <c r="C64" s="51" t="s">
        <v>218</v>
      </c>
      <c r="D64" s="51" t="s">
        <v>219</v>
      </c>
      <c r="E64" s="51" t="s">
        <v>220</v>
      </c>
      <c r="F64" s="51">
        <v>8</v>
      </c>
      <c r="G64" s="24">
        <v>2024.7</v>
      </c>
      <c r="H64" s="24">
        <v>31</v>
      </c>
      <c r="I64" s="24">
        <v>8</v>
      </c>
      <c r="J64" s="24" t="s">
        <v>25</v>
      </c>
      <c r="K64" s="19" t="s">
        <v>854</v>
      </c>
      <c r="L64" s="19" t="s">
        <v>855</v>
      </c>
      <c r="M64" s="15" t="s">
        <v>36</v>
      </c>
      <c r="N64" s="15" t="s">
        <v>817</v>
      </c>
      <c r="O64" s="75" t="s">
        <v>439</v>
      </c>
      <c r="P64" s="75" t="s">
        <v>440</v>
      </c>
      <c r="Q64" s="14"/>
      <c r="R64" s="14"/>
      <c r="S64" s="15"/>
    </row>
    <row r="65" s="46" customFormat="1" ht="60" spans="1:19">
      <c r="A65" s="24" t="s">
        <v>223</v>
      </c>
      <c r="B65" s="51" t="s">
        <v>21</v>
      </c>
      <c r="C65" s="51" t="s">
        <v>234</v>
      </c>
      <c r="D65" s="51" t="s">
        <v>468</v>
      </c>
      <c r="E65" s="51" t="s">
        <v>469</v>
      </c>
      <c r="F65" s="51">
        <v>1</v>
      </c>
      <c r="G65" s="24">
        <v>2025.4</v>
      </c>
      <c r="H65" s="24">
        <v>30</v>
      </c>
      <c r="I65" s="24">
        <v>1</v>
      </c>
      <c r="J65" s="13" t="s">
        <v>153</v>
      </c>
      <c r="K65" s="19" t="s">
        <v>856</v>
      </c>
      <c r="L65" s="19" t="s">
        <v>857</v>
      </c>
      <c r="M65" s="15" t="s">
        <v>36</v>
      </c>
      <c r="N65" s="15" t="s">
        <v>160</v>
      </c>
      <c r="O65" s="13" t="s">
        <v>439</v>
      </c>
      <c r="P65" s="13" t="s">
        <v>440</v>
      </c>
      <c r="Q65" s="14"/>
      <c r="R65" s="14"/>
      <c r="S65" s="15"/>
    </row>
    <row r="66" s="46" customFormat="1" ht="36" spans="1:19">
      <c r="A66" s="24" t="s">
        <v>223</v>
      </c>
      <c r="B66" s="24" t="s">
        <v>63</v>
      </c>
      <c r="C66" s="24" t="s">
        <v>234</v>
      </c>
      <c r="D66" s="15" t="s">
        <v>239</v>
      </c>
      <c r="E66" s="14" t="s">
        <v>240</v>
      </c>
      <c r="F66" s="14">
        <v>2</v>
      </c>
      <c r="G66" s="57">
        <v>2024.12</v>
      </c>
      <c r="H66" s="24">
        <v>11</v>
      </c>
      <c r="I66" s="24">
        <v>2</v>
      </c>
      <c r="J66" s="13" t="s">
        <v>153</v>
      </c>
      <c r="K66" s="19" t="s">
        <v>858</v>
      </c>
      <c r="L66" s="19" t="s">
        <v>859</v>
      </c>
      <c r="M66" s="15" t="s">
        <v>36</v>
      </c>
      <c r="N66" s="15" t="s">
        <v>160</v>
      </c>
      <c r="O66" s="13" t="s">
        <v>439</v>
      </c>
      <c r="P66" s="13" t="s">
        <v>440</v>
      </c>
      <c r="Q66" s="14"/>
      <c r="R66" s="14"/>
      <c r="S66" s="15"/>
    </row>
    <row r="67" s="46" customFormat="1" ht="24" spans="1:19">
      <c r="A67" s="24" t="s">
        <v>254</v>
      </c>
      <c r="B67" s="15" t="s">
        <v>21</v>
      </c>
      <c r="C67" s="15" t="s">
        <v>513</v>
      </c>
      <c r="D67" s="15" t="s">
        <v>514</v>
      </c>
      <c r="E67" s="15" t="s">
        <v>515</v>
      </c>
      <c r="F67" s="15">
        <v>3</v>
      </c>
      <c r="G67" s="15">
        <v>2024.3</v>
      </c>
      <c r="H67" s="15">
        <v>4</v>
      </c>
      <c r="I67" s="15">
        <v>3</v>
      </c>
      <c r="J67" s="15" t="s">
        <v>25</v>
      </c>
      <c r="K67" s="19" t="s">
        <v>860</v>
      </c>
      <c r="L67" s="19" t="s">
        <v>861</v>
      </c>
      <c r="M67" s="14" t="s">
        <v>36</v>
      </c>
      <c r="N67" s="14" t="s">
        <v>862</v>
      </c>
      <c r="O67" s="13" t="s">
        <v>439</v>
      </c>
      <c r="P67" s="13" t="s">
        <v>440</v>
      </c>
      <c r="Q67" s="14"/>
      <c r="R67" s="14"/>
      <c r="S67" s="15"/>
    </row>
    <row r="68" s="46" customFormat="1" ht="12" spans="1:19">
      <c r="A68" s="24" t="s">
        <v>254</v>
      </c>
      <c r="B68" s="51" t="s">
        <v>21</v>
      </c>
      <c r="C68" s="51" t="s">
        <v>281</v>
      </c>
      <c r="D68" s="51" t="s">
        <v>282</v>
      </c>
      <c r="E68" s="51" t="s">
        <v>283</v>
      </c>
      <c r="F68" s="51">
        <v>6</v>
      </c>
      <c r="G68" s="24">
        <v>2025.4</v>
      </c>
      <c r="H68" s="24">
        <v>22</v>
      </c>
      <c r="I68" s="24">
        <v>6</v>
      </c>
      <c r="J68" s="24" t="s">
        <v>25</v>
      </c>
      <c r="K68" s="19" t="s">
        <v>863</v>
      </c>
      <c r="L68" s="19" t="s">
        <v>864</v>
      </c>
      <c r="M68" s="15" t="s">
        <v>36</v>
      </c>
      <c r="N68" s="15" t="s">
        <v>160</v>
      </c>
      <c r="O68" s="13" t="s">
        <v>439</v>
      </c>
      <c r="P68" s="13" t="s">
        <v>440</v>
      </c>
      <c r="Q68" s="14"/>
      <c r="R68" s="14"/>
      <c r="S68" s="15"/>
    </row>
    <row r="69" s="46" customFormat="1" ht="12" spans="1:19">
      <c r="A69" s="24" t="s">
        <v>254</v>
      </c>
      <c r="B69" s="51" t="s">
        <v>21</v>
      </c>
      <c r="C69" s="51" t="s">
        <v>281</v>
      </c>
      <c r="D69" s="51" t="s">
        <v>282</v>
      </c>
      <c r="E69" s="51" t="s">
        <v>283</v>
      </c>
      <c r="F69" s="51">
        <v>6</v>
      </c>
      <c r="G69" s="24">
        <v>2025.4</v>
      </c>
      <c r="H69" s="24">
        <v>22</v>
      </c>
      <c r="I69" s="24">
        <v>6</v>
      </c>
      <c r="J69" s="24" t="s">
        <v>25</v>
      </c>
      <c r="K69" s="19" t="s">
        <v>508</v>
      </c>
      <c r="L69" s="19" t="s">
        <v>865</v>
      </c>
      <c r="M69" s="15" t="s">
        <v>36</v>
      </c>
      <c r="N69" s="15" t="s">
        <v>160</v>
      </c>
      <c r="O69" s="13" t="s">
        <v>439</v>
      </c>
      <c r="P69" s="13" t="s">
        <v>440</v>
      </c>
      <c r="Q69" s="14"/>
      <c r="R69" s="14"/>
      <c r="S69" s="15"/>
    </row>
    <row r="70" s="46" customFormat="1" ht="12" spans="1:19">
      <c r="A70" s="24" t="s">
        <v>254</v>
      </c>
      <c r="B70" s="51" t="s">
        <v>21</v>
      </c>
      <c r="C70" s="51" t="s">
        <v>281</v>
      </c>
      <c r="D70" s="51" t="s">
        <v>282</v>
      </c>
      <c r="E70" s="51" t="s">
        <v>283</v>
      </c>
      <c r="F70" s="51">
        <v>6</v>
      </c>
      <c r="G70" s="24">
        <v>2025.4</v>
      </c>
      <c r="H70" s="24">
        <v>22</v>
      </c>
      <c r="I70" s="24">
        <v>6</v>
      </c>
      <c r="J70" s="24" t="s">
        <v>25</v>
      </c>
      <c r="K70" s="19" t="s">
        <v>866</v>
      </c>
      <c r="L70" s="19" t="s">
        <v>867</v>
      </c>
      <c r="M70" s="15" t="s">
        <v>36</v>
      </c>
      <c r="N70" s="15" t="s">
        <v>160</v>
      </c>
      <c r="O70" s="13" t="s">
        <v>439</v>
      </c>
      <c r="P70" s="13" t="s">
        <v>440</v>
      </c>
      <c r="Q70" s="14"/>
      <c r="R70" s="14"/>
      <c r="S70" s="15"/>
    </row>
    <row r="71" s="46" customFormat="1" ht="12" spans="1:19">
      <c r="A71" s="24" t="s">
        <v>254</v>
      </c>
      <c r="B71" s="51" t="s">
        <v>21</v>
      </c>
      <c r="C71" s="51" t="s">
        <v>281</v>
      </c>
      <c r="D71" s="51" t="s">
        <v>282</v>
      </c>
      <c r="E71" s="51" t="s">
        <v>283</v>
      </c>
      <c r="F71" s="51">
        <v>6</v>
      </c>
      <c r="G71" s="24">
        <v>2025.4</v>
      </c>
      <c r="H71" s="24">
        <v>22</v>
      </c>
      <c r="I71" s="24">
        <v>6</v>
      </c>
      <c r="J71" s="24" t="s">
        <v>25</v>
      </c>
      <c r="K71" s="19" t="s">
        <v>508</v>
      </c>
      <c r="L71" s="19" t="s">
        <v>509</v>
      </c>
      <c r="M71" s="15" t="s">
        <v>36</v>
      </c>
      <c r="N71" s="15" t="s">
        <v>160</v>
      </c>
      <c r="O71" s="13" t="s">
        <v>439</v>
      </c>
      <c r="P71" s="13" t="s">
        <v>440</v>
      </c>
      <c r="Q71" s="14"/>
      <c r="R71" s="14"/>
      <c r="S71" s="15"/>
    </row>
    <row r="72" s="46" customFormat="1" ht="12" spans="1:19">
      <c r="A72" s="24" t="s">
        <v>313</v>
      </c>
      <c r="B72" s="24" t="s">
        <v>21</v>
      </c>
      <c r="C72" s="24" t="s">
        <v>645</v>
      </c>
      <c r="D72" s="24" t="s">
        <v>646</v>
      </c>
      <c r="E72" s="24" t="s">
        <v>647</v>
      </c>
      <c r="F72" s="24">
        <v>4</v>
      </c>
      <c r="G72" s="24" t="s">
        <v>648</v>
      </c>
      <c r="H72" s="24">
        <v>7</v>
      </c>
      <c r="I72" s="24">
        <v>2</v>
      </c>
      <c r="J72" s="13" t="s">
        <v>25</v>
      </c>
      <c r="K72" s="19" t="s">
        <v>649</v>
      </c>
      <c r="L72" s="19" t="s">
        <v>868</v>
      </c>
      <c r="M72" s="15" t="s">
        <v>36</v>
      </c>
      <c r="N72" s="15" t="s">
        <v>160</v>
      </c>
      <c r="O72" s="13" t="s">
        <v>439</v>
      </c>
      <c r="P72" s="13" t="s">
        <v>440</v>
      </c>
      <c r="Q72" s="14"/>
      <c r="R72" s="14"/>
      <c r="S72" s="15"/>
    </row>
    <row r="73" s="46" customFormat="1" ht="24" spans="1:19">
      <c r="A73" s="24" t="s">
        <v>313</v>
      </c>
      <c r="B73" s="24" t="s">
        <v>21</v>
      </c>
      <c r="C73" s="24" t="s">
        <v>645</v>
      </c>
      <c r="D73" s="24" t="s">
        <v>646</v>
      </c>
      <c r="E73" s="24" t="s">
        <v>647</v>
      </c>
      <c r="F73" s="24">
        <v>4</v>
      </c>
      <c r="G73" s="24" t="s">
        <v>648</v>
      </c>
      <c r="H73" s="24">
        <v>7</v>
      </c>
      <c r="I73" s="24">
        <v>2</v>
      </c>
      <c r="J73" s="13" t="s">
        <v>25</v>
      </c>
      <c r="K73" s="19" t="s">
        <v>869</v>
      </c>
      <c r="L73" s="19" t="s">
        <v>870</v>
      </c>
      <c r="M73" s="15" t="s">
        <v>36</v>
      </c>
      <c r="N73" s="15" t="s">
        <v>160</v>
      </c>
      <c r="O73" s="13" t="s">
        <v>439</v>
      </c>
      <c r="P73" s="13" t="s">
        <v>440</v>
      </c>
      <c r="Q73" s="14"/>
      <c r="R73" s="14"/>
      <c r="S73" s="15"/>
    </row>
    <row r="74" s="46" customFormat="1" ht="24" spans="1:19">
      <c r="A74" s="24" t="s">
        <v>313</v>
      </c>
      <c r="B74" s="24"/>
      <c r="C74" s="24"/>
      <c r="D74" s="24"/>
      <c r="E74" s="24"/>
      <c r="F74" s="24"/>
      <c r="G74" s="24"/>
      <c r="H74" s="24"/>
      <c r="I74" s="24"/>
      <c r="J74" s="24"/>
      <c r="K74" s="19" t="s">
        <v>871</v>
      </c>
      <c r="L74" s="19" t="s">
        <v>872</v>
      </c>
      <c r="M74" s="15" t="s">
        <v>36</v>
      </c>
      <c r="N74" s="15" t="s">
        <v>862</v>
      </c>
      <c r="O74" s="13" t="s">
        <v>439</v>
      </c>
      <c r="P74" s="13" t="s">
        <v>440</v>
      </c>
      <c r="Q74" s="14"/>
      <c r="R74" s="14"/>
      <c r="S74" s="15"/>
    </row>
    <row r="75" s="46" customFormat="1" ht="24" spans="1:19">
      <c r="A75" s="24" t="s">
        <v>313</v>
      </c>
      <c r="B75" s="24"/>
      <c r="C75" s="24"/>
      <c r="D75" s="24"/>
      <c r="E75" s="24"/>
      <c r="F75" s="24"/>
      <c r="G75" s="24"/>
      <c r="H75" s="24"/>
      <c r="I75" s="24"/>
      <c r="J75" s="24"/>
      <c r="K75" s="19" t="s">
        <v>873</v>
      </c>
      <c r="L75" s="19" t="s">
        <v>874</v>
      </c>
      <c r="M75" s="15" t="s">
        <v>36</v>
      </c>
      <c r="N75" s="15" t="s">
        <v>862</v>
      </c>
      <c r="O75" s="13" t="s">
        <v>439</v>
      </c>
      <c r="P75" s="13" t="s">
        <v>440</v>
      </c>
      <c r="Q75" s="14"/>
      <c r="R75" s="14"/>
      <c r="S75" s="15"/>
    </row>
    <row r="76" s="46" customFormat="1" ht="24" spans="1:19">
      <c r="A76" s="24" t="s">
        <v>313</v>
      </c>
      <c r="B76" s="24"/>
      <c r="C76" s="24"/>
      <c r="D76" s="24"/>
      <c r="E76" s="24"/>
      <c r="F76" s="24"/>
      <c r="G76" s="24"/>
      <c r="H76" s="24"/>
      <c r="I76" s="24"/>
      <c r="J76" s="24"/>
      <c r="K76" s="19" t="s">
        <v>875</v>
      </c>
      <c r="L76" s="19" t="s">
        <v>876</v>
      </c>
      <c r="M76" s="15" t="s">
        <v>36</v>
      </c>
      <c r="N76" s="15" t="s">
        <v>862</v>
      </c>
      <c r="O76" s="13" t="s">
        <v>439</v>
      </c>
      <c r="P76" s="13" t="s">
        <v>440</v>
      </c>
      <c r="Q76" s="14"/>
      <c r="R76" s="14"/>
      <c r="S76" s="15"/>
    </row>
    <row r="77" s="46" customFormat="1" ht="36" spans="1:19">
      <c r="A77" s="24" t="s">
        <v>335</v>
      </c>
      <c r="B77" s="24" t="s">
        <v>21</v>
      </c>
      <c r="C77" s="24" t="s">
        <v>270</v>
      </c>
      <c r="D77" s="24" t="s">
        <v>547</v>
      </c>
      <c r="E77" s="24" t="s">
        <v>548</v>
      </c>
      <c r="F77" s="24">
        <v>8</v>
      </c>
      <c r="G77" s="24">
        <v>2024.11</v>
      </c>
      <c r="H77" s="24">
        <v>27</v>
      </c>
      <c r="I77" s="24">
        <v>8</v>
      </c>
      <c r="J77" s="24" t="s">
        <v>153</v>
      </c>
      <c r="K77" s="19" t="s">
        <v>877</v>
      </c>
      <c r="L77" s="19" t="s">
        <v>878</v>
      </c>
      <c r="M77" s="15" t="s">
        <v>36</v>
      </c>
      <c r="N77" s="15" t="s">
        <v>160</v>
      </c>
      <c r="O77" s="24" t="s">
        <v>439</v>
      </c>
      <c r="P77" s="24" t="s">
        <v>440</v>
      </c>
      <c r="Q77" s="24"/>
      <c r="R77" s="24"/>
      <c r="S77" s="24"/>
    </row>
    <row r="78" s="46" customFormat="1" ht="36" spans="1:19">
      <c r="A78" s="24" t="s">
        <v>335</v>
      </c>
      <c r="B78" s="24" t="s">
        <v>21</v>
      </c>
      <c r="C78" s="24" t="s">
        <v>270</v>
      </c>
      <c r="D78" s="24" t="s">
        <v>547</v>
      </c>
      <c r="E78" s="24" t="s">
        <v>548</v>
      </c>
      <c r="F78" s="24">
        <v>8</v>
      </c>
      <c r="G78" s="24">
        <v>2024.11</v>
      </c>
      <c r="H78" s="24">
        <v>27</v>
      </c>
      <c r="I78" s="24">
        <v>8</v>
      </c>
      <c r="J78" s="24" t="s">
        <v>153</v>
      </c>
      <c r="K78" s="19" t="s">
        <v>879</v>
      </c>
      <c r="L78" s="19" t="s">
        <v>880</v>
      </c>
      <c r="M78" s="15" t="s">
        <v>36</v>
      </c>
      <c r="N78" s="15" t="s">
        <v>372</v>
      </c>
      <c r="O78" s="24" t="s">
        <v>439</v>
      </c>
      <c r="P78" s="24" t="s">
        <v>440</v>
      </c>
      <c r="Q78" s="24"/>
      <c r="R78" s="24"/>
      <c r="S78" s="24"/>
    </row>
    <row r="79" s="46" customFormat="1" ht="36" spans="1:19">
      <c r="A79" s="24" t="s">
        <v>335</v>
      </c>
      <c r="B79" s="24" t="s">
        <v>21</v>
      </c>
      <c r="C79" s="24" t="s">
        <v>270</v>
      </c>
      <c r="D79" s="24" t="s">
        <v>547</v>
      </c>
      <c r="E79" s="24" t="s">
        <v>548</v>
      </c>
      <c r="F79" s="24">
        <v>8</v>
      </c>
      <c r="G79" s="24">
        <v>2024.11</v>
      </c>
      <c r="H79" s="24">
        <v>27</v>
      </c>
      <c r="I79" s="24">
        <v>8</v>
      </c>
      <c r="J79" s="24" t="s">
        <v>153</v>
      </c>
      <c r="K79" s="19" t="s">
        <v>881</v>
      </c>
      <c r="L79" s="19" t="s">
        <v>882</v>
      </c>
      <c r="M79" s="15" t="s">
        <v>36</v>
      </c>
      <c r="N79" s="15" t="s">
        <v>372</v>
      </c>
      <c r="O79" s="24" t="s">
        <v>439</v>
      </c>
      <c r="P79" s="24" t="s">
        <v>440</v>
      </c>
      <c r="Q79" s="24"/>
      <c r="R79" s="24"/>
      <c r="S79" s="24"/>
    </row>
    <row r="80" s="46" customFormat="1" ht="36" spans="1:19">
      <c r="A80" s="24" t="s">
        <v>335</v>
      </c>
      <c r="B80" s="24" t="s">
        <v>21</v>
      </c>
      <c r="C80" s="24" t="s">
        <v>270</v>
      </c>
      <c r="D80" s="24" t="s">
        <v>547</v>
      </c>
      <c r="E80" s="24" t="s">
        <v>548</v>
      </c>
      <c r="F80" s="24">
        <v>8</v>
      </c>
      <c r="G80" s="24">
        <v>2024.11</v>
      </c>
      <c r="H80" s="24">
        <v>27</v>
      </c>
      <c r="I80" s="24">
        <v>8</v>
      </c>
      <c r="J80" s="24" t="s">
        <v>153</v>
      </c>
      <c r="K80" s="19" t="s">
        <v>883</v>
      </c>
      <c r="L80" s="19" t="s">
        <v>884</v>
      </c>
      <c r="M80" s="15" t="s">
        <v>36</v>
      </c>
      <c r="N80" s="15" t="s">
        <v>372</v>
      </c>
      <c r="O80" s="24" t="s">
        <v>439</v>
      </c>
      <c r="P80" s="24" t="s">
        <v>440</v>
      </c>
      <c r="Q80" s="24"/>
      <c r="R80" s="24"/>
      <c r="S80" s="24"/>
    </row>
    <row r="81" s="46" customFormat="1" ht="36" spans="1:19">
      <c r="A81" s="24" t="s">
        <v>335</v>
      </c>
      <c r="B81" s="24" t="s">
        <v>21</v>
      </c>
      <c r="C81" s="24" t="s">
        <v>270</v>
      </c>
      <c r="D81" s="24" t="s">
        <v>547</v>
      </c>
      <c r="E81" s="24" t="s">
        <v>548</v>
      </c>
      <c r="F81" s="24">
        <v>8</v>
      </c>
      <c r="G81" s="24">
        <v>2024.11</v>
      </c>
      <c r="H81" s="24">
        <v>27</v>
      </c>
      <c r="I81" s="24">
        <v>8</v>
      </c>
      <c r="J81" s="24" t="s">
        <v>153</v>
      </c>
      <c r="K81" s="19" t="s">
        <v>885</v>
      </c>
      <c r="L81" s="19" t="s">
        <v>886</v>
      </c>
      <c r="M81" s="15" t="s">
        <v>36</v>
      </c>
      <c r="N81" s="15" t="s">
        <v>372</v>
      </c>
      <c r="O81" s="24" t="s">
        <v>439</v>
      </c>
      <c r="P81" s="24" t="s">
        <v>440</v>
      </c>
      <c r="Q81" s="24"/>
      <c r="R81" s="24"/>
      <c r="S81" s="24"/>
    </row>
    <row r="82" s="46" customFormat="1" ht="36" spans="1:19">
      <c r="A82" s="24" t="s">
        <v>335</v>
      </c>
      <c r="B82" s="24" t="s">
        <v>21</v>
      </c>
      <c r="C82" s="24" t="s">
        <v>270</v>
      </c>
      <c r="D82" s="24" t="s">
        <v>547</v>
      </c>
      <c r="E82" s="24" t="s">
        <v>548</v>
      </c>
      <c r="F82" s="24">
        <v>8</v>
      </c>
      <c r="G82" s="24">
        <v>2024.11</v>
      </c>
      <c r="H82" s="24">
        <v>27</v>
      </c>
      <c r="I82" s="24">
        <v>8</v>
      </c>
      <c r="J82" s="24" t="s">
        <v>153</v>
      </c>
      <c r="K82" s="19" t="s">
        <v>887</v>
      </c>
      <c r="L82" s="19" t="s">
        <v>888</v>
      </c>
      <c r="M82" s="15" t="s">
        <v>36</v>
      </c>
      <c r="N82" s="15" t="s">
        <v>372</v>
      </c>
      <c r="O82" s="24" t="s">
        <v>439</v>
      </c>
      <c r="P82" s="24" t="s">
        <v>440</v>
      </c>
      <c r="Q82" s="24"/>
      <c r="R82" s="24"/>
      <c r="S82" s="24"/>
    </row>
    <row r="83" s="46" customFormat="1" ht="12" spans="1:19">
      <c r="A83" s="24" t="s">
        <v>335</v>
      </c>
      <c r="B83" s="15" t="s">
        <v>63</v>
      </c>
      <c r="C83" s="15" t="s">
        <v>344</v>
      </c>
      <c r="D83" s="15" t="s">
        <v>803</v>
      </c>
      <c r="E83" s="15" t="s">
        <v>804</v>
      </c>
      <c r="F83" s="15">
        <v>3</v>
      </c>
      <c r="G83" s="15">
        <v>2025.3</v>
      </c>
      <c r="H83" s="15">
        <v>27</v>
      </c>
      <c r="I83" s="15">
        <v>3</v>
      </c>
      <c r="J83" s="15" t="s">
        <v>153</v>
      </c>
      <c r="K83" s="19" t="s">
        <v>889</v>
      </c>
      <c r="L83" s="19" t="s">
        <v>890</v>
      </c>
      <c r="M83" s="15" t="s">
        <v>36</v>
      </c>
      <c r="N83" s="15" t="s">
        <v>372</v>
      </c>
      <c r="O83" s="24" t="s">
        <v>439</v>
      </c>
      <c r="P83" s="24" t="s">
        <v>440</v>
      </c>
      <c r="Q83" s="24"/>
      <c r="R83" s="24"/>
      <c r="S83" s="24"/>
    </row>
    <row r="84" s="46" customFormat="1" ht="12" spans="1:19">
      <c r="A84" s="24" t="s">
        <v>335</v>
      </c>
      <c r="B84" s="15"/>
      <c r="C84" s="15"/>
      <c r="D84" s="15"/>
      <c r="E84" s="15"/>
      <c r="F84" s="15"/>
      <c r="G84" s="15"/>
      <c r="H84" s="15"/>
      <c r="I84" s="15"/>
      <c r="J84" s="15"/>
      <c r="K84" s="19" t="s">
        <v>651</v>
      </c>
      <c r="L84" s="19" t="s">
        <v>652</v>
      </c>
      <c r="M84" s="15" t="s">
        <v>36</v>
      </c>
      <c r="N84" s="15" t="s">
        <v>372</v>
      </c>
      <c r="O84" s="24" t="s">
        <v>439</v>
      </c>
      <c r="P84" s="24" t="s">
        <v>440</v>
      </c>
      <c r="Q84" s="24"/>
      <c r="R84" s="24"/>
      <c r="S84" s="24"/>
    </row>
    <row r="85" s="46" customFormat="1" ht="12" spans="1:19">
      <c r="A85" s="24" t="s">
        <v>335</v>
      </c>
      <c r="B85" s="51" t="s">
        <v>21</v>
      </c>
      <c r="C85" s="51" t="s">
        <v>281</v>
      </c>
      <c r="D85" s="51" t="s">
        <v>282</v>
      </c>
      <c r="E85" s="51" t="s">
        <v>283</v>
      </c>
      <c r="F85" s="51">
        <v>7</v>
      </c>
      <c r="G85" s="24">
        <v>2025.4</v>
      </c>
      <c r="H85" s="24">
        <v>22</v>
      </c>
      <c r="I85" s="24">
        <v>7</v>
      </c>
      <c r="J85" s="24" t="s">
        <v>891</v>
      </c>
      <c r="K85" s="19" t="s">
        <v>508</v>
      </c>
      <c r="L85" s="19" t="s">
        <v>892</v>
      </c>
      <c r="M85" s="15" t="s">
        <v>36</v>
      </c>
      <c r="N85" s="15" t="s">
        <v>372</v>
      </c>
      <c r="O85" s="24" t="s">
        <v>439</v>
      </c>
      <c r="P85" s="24" t="s">
        <v>440</v>
      </c>
      <c r="Q85" s="24"/>
      <c r="R85" s="24"/>
      <c r="S85" s="24"/>
    </row>
    <row r="86" s="46" customFormat="1" ht="12" spans="1:19">
      <c r="A86" s="24" t="s">
        <v>335</v>
      </c>
      <c r="B86" s="51" t="s">
        <v>21</v>
      </c>
      <c r="C86" s="51" t="s">
        <v>281</v>
      </c>
      <c r="D86" s="51" t="s">
        <v>282</v>
      </c>
      <c r="E86" s="51" t="s">
        <v>283</v>
      </c>
      <c r="F86" s="51">
        <v>7</v>
      </c>
      <c r="G86" s="24">
        <v>2025.4</v>
      </c>
      <c r="H86" s="24">
        <v>22</v>
      </c>
      <c r="I86" s="24">
        <v>7</v>
      </c>
      <c r="J86" s="24" t="s">
        <v>891</v>
      </c>
      <c r="K86" s="19" t="s">
        <v>508</v>
      </c>
      <c r="L86" s="19" t="s">
        <v>509</v>
      </c>
      <c r="M86" s="15" t="s">
        <v>36</v>
      </c>
      <c r="N86" s="15" t="s">
        <v>372</v>
      </c>
      <c r="O86" s="24" t="s">
        <v>439</v>
      </c>
      <c r="P86" s="24" t="s">
        <v>440</v>
      </c>
      <c r="Q86" s="24"/>
      <c r="R86" s="24"/>
      <c r="S86" s="24"/>
    </row>
    <row r="87" s="46" customFormat="1" ht="12" spans="1:19">
      <c r="A87" s="24" t="s">
        <v>335</v>
      </c>
      <c r="B87" s="24" t="s">
        <v>63</v>
      </c>
      <c r="C87" s="15" t="s">
        <v>893</v>
      </c>
      <c r="D87" s="15" t="s">
        <v>276</v>
      </c>
      <c r="E87" s="15" t="s">
        <v>277</v>
      </c>
      <c r="F87" s="14">
        <v>1</v>
      </c>
      <c r="G87" s="14">
        <v>2024.1</v>
      </c>
      <c r="H87" s="24">
        <v>4</v>
      </c>
      <c r="I87" s="14">
        <v>1</v>
      </c>
      <c r="J87" s="24" t="s">
        <v>891</v>
      </c>
      <c r="K87" s="19" t="s">
        <v>894</v>
      </c>
      <c r="L87" s="19" t="s">
        <v>895</v>
      </c>
      <c r="M87" s="15" t="s">
        <v>36</v>
      </c>
      <c r="N87" s="15" t="s">
        <v>372</v>
      </c>
      <c r="O87" s="24" t="s">
        <v>439</v>
      </c>
      <c r="P87" s="24" t="s">
        <v>440</v>
      </c>
      <c r="Q87" s="24"/>
      <c r="R87" s="24"/>
      <c r="S87" s="24"/>
    </row>
    <row r="88" s="46" customFormat="1" ht="12" spans="1:19">
      <c r="A88" s="24" t="s">
        <v>476</v>
      </c>
      <c r="B88" s="13" t="s">
        <v>63</v>
      </c>
      <c r="C88" s="13" t="s">
        <v>480</v>
      </c>
      <c r="D88" s="13" t="s">
        <v>481</v>
      </c>
      <c r="E88" s="13" t="s">
        <v>482</v>
      </c>
      <c r="F88" s="13">
        <v>2</v>
      </c>
      <c r="G88" s="13" t="s">
        <v>483</v>
      </c>
      <c r="H88" s="13">
        <v>27</v>
      </c>
      <c r="I88" s="13">
        <v>2</v>
      </c>
      <c r="J88" s="13" t="s">
        <v>484</v>
      </c>
      <c r="K88" s="19" t="s">
        <v>896</v>
      </c>
      <c r="L88" s="24"/>
      <c r="M88" s="15" t="s">
        <v>36</v>
      </c>
      <c r="N88" s="15" t="s">
        <v>160</v>
      </c>
      <c r="O88" s="24" t="s">
        <v>479</v>
      </c>
      <c r="P88" s="24" t="s">
        <v>440</v>
      </c>
      <c r="Q88" s="14"/>
      <c r="R88" s="14"/>
      <c r="S88" s="15"/>
    </row>
    <row r="89" s="46" customFormat="1" ht="24" spans="1:19">
      <c r="A89" s="24" t="s">
        <v>476</v>
      </c>
      <c r="B89" s="13" t="s">
        <v>63</v>
      </c>
      <c r="C89" s="13" t="s">
        <v>480</v>
      </c>
      <c r="D89" s="13" t="s">
        <v>481</v>
      </c>
      <c r="E89" s="13" t="s">
        <v>482</v>
      </c>
      <c r="F89" s="13">
        <v>2</v>
      </c>
      <c r="G89" s="13" t="s">
        <v>483</v>
      </c>
      <c r="H89" s="13">
        <v>27</v>
      </c>
      <c r="I89" s="13">
        <v>2</v>
      </c>
      <c r="J89" s="13" t="s">
        <v>484</v>
      </c>
      <c r="K89" s="19" t="s">
        <v>897</v>
      </c>
      <c r="L89" s="19" t="s">
        <v>898</v>
      </c>
      <c r="M89" s="15" t="s">
        <v>36</v>
      </c>
      <c r="N89" s="15" t="s">
        <v>160</v>
      </c>
      <c r="O89" s="24" t="s">
        <v>479</v>
      </c>
      <c r="P89" s="24" t="s">
        <v>440</v>
      </c>
      <c r="Q89" s="14"/>
      <c r="R89" s="14"/>
      <c r="S89" s="15"/>
    </row>
    <row r="90" s="46" customFormat="1" ht="24" spans="1:19">
      <c r="A90" s="24" t="s">
        <v>20</v>
      </c>
      <c r="B90" s="24" t="s">
        <v>21</v>
      </c>
      <c r="C90" s="24" t="s">
        <v>348</v>
      </c>
      <c r="D90" s="24" t="s">
        <v>349</v>
      </c>
      <c r="E90" s="24" t="s">
        <v>350</v>
      </c>
      <c r="F90" s="24">
        <v>1</v>
      </c>
      <c r="G90" s="24">
        <v>2024.11</v>
      </c>
      <c r="H90" s="24">
        <v>20</v>
      </c>
      <c r="I90" s="24">
        <v>1</v>
      </c>
      <c r="J90" s="24" t="s">
        <v>153</v>
      </c>
      <c r="K90" s="29" t="s">
        <v>899</v>
      </c>
      <c r="L90" s="29" t="s">
        <v>900</v>
      </c>
      <c r="M90" s="14" t="s">
        <v>36</v>
      </c>
      <c r="N90" s="30" t="s">
        <v>160</v>
      </c>
      <c r="O90" s="42" t="s">
        <v>498</v>
      </c>
      <c r="P90" s="42" t="s">
        <v>901</v>
      </c>
      <c r="Q90" s="30"/>
      <c r="R90" s="30"/>
      <c r="S90" s="30"/>
    </row>
    <row r="91" s="46" customFormat="1" ht="24" spans="1:19">
      <c r="A91" s="24" t="s">
        <v>20</v>
      </c>
      <c r="B91" s="24" t="s">
        <v>21</v>
      </c>
      <c r="C91" s="24" t="s">
        <v>348</v>
      </c>
      <c r="D91" s="24" t="s">
        <v>349</v>
      </c>
      <c r="E91" s="24" t="s">
        <v>350</v>
      </c>
      <c r="F91" s="24">
        <v>1</v>
      </c>
      <c r="G91" s="24">
        <v>2024.11</v>
      </c>
      <c r="H91" s="24">
        <v>20</v>
      </c>
      <c r="I91" s="24">
        <v>1</v>
      </c>
      <c r="J91" s="24" t="s">
        <v>153</v>
      </c>
      <c r="K91" s="29" t="s">
        <v>902</v>
      </c>
      <c r="L91" s="29" t="s">
        <v>903</v>
      </c>
      <c r="M91" s="14" t="s">
        <v>36</v>
      </c>
      <c r="N91" s="30" t="s">
        <v>160</v>
      </c>
      <c r="O91" s="42" t="s">
        <v>498</v>
      </c>
      <c r="P91" s="42" t="s">
        <v>901</v>
      </c>
      <c r="Q91" s="30"/>
      <c r="R91" s="30"/>
      <c r="S91" s="30"/>
    </row>
    <row r="92" s="46" customFormat="1" ht="24" spans="1:19">
      <c r="A92" s="24" t="s">
        <v>20</v>
      </c>
      <c r="B92" s="24" t="s">
        <v>21</v>
      </c>
      <c r="C92" s="24" t="s">
        <v>348</v>
      </c>
      <c r="D92" s="24" t="s">
        <v>349</v>
      </c>
      <c r="E92" s="24" t="s">
        <v>350</v>
      </c>
      <c r="F92" s="24">
        <v>1</v>
      </c>
      <c r="G92" s="24">
        <v>2024.11</v>
      </c>
      <c r="H92" s="24">
        <v>20</v>
      </c>
      <c r="I92" s="24">
        <v>1</v>
      </c>
      <c r="J92" s="24" t="s">
        <v>153</v>
      </c>
      <c r="K92" s="29" t="s">
        <v>904</v>
      </c>
      <c r="L92" s="29" t="s">
        <v>905</v>
      </c>
      <c r="M92" s="14" t="s">
        <v>906</v>
      </c>
      <c r="N92" s="30" t="s">
        <v>160</v>
      </c>
      <c r="O92" s="42" t="s">
        <v>498</v>
      </c>
      <c r="P92" s="42" t="s">
        <v>901</v>
      </c>
      <c r="Q92" s="30"/>
      <c r="R92" s="30"/>
      <c r="S92" s="30"/>
    </row>
    <row r="93" s="46" customFormat="1" ht="72" spans="1:19">
      <c r="A93" s="24" t="s">
        <v>20</v>
      </c>
      <c r="B93" s="24" t="s">
        <v>21</v>
      </c>
      <c r="C93" s="24" t="s">
        <v>22</v>
      </c>
      <c r="D93" s="24" t="s">
        <v>23</v>
      </c>
      <c r="E93" s="24" t="s">
        <v>24</v>
      </c>
      <c r="F93" s="24">
        <v>1</v>
      </c>
      <c r="G93" s="24">
        <v>2024.9</v>
      </c>
      <c r="H93" s="24">
        <v>22</v>
      </c>
      <c r="I93" s="24">
        <v>1</v>
      </c>
      <c r="J93" s="24" t="s">
        <v>25</v>
      </c>
      <c r="K93" s="29" t="s">
        <v>907</v>
      </c>
      <c r="L93" s="29" t="s">
        <v>908</v>
      </c>
      <c r="M93" s="14" t="s">
        <v>36</v>
      </c>
      <c r="N93" s="30" t="s">
        <v>862</v>
      </c>
      <c r="O93" s="42" t="s">
        <v>553</v>
      </c>
      <c r="P93" s="42" t="s">
        <v>507</v>
      </c>
      <c r="Q93" s="30"/>
      <c r="R93" s="30"/>
      <c r="S93" s="30"/>
    </row>
    <row r="94" s="46" customFormat="1" ht="24" spans="1:19">
      <c r="A94" s="24" t="s">
        <v>20</v>
      </c>
      <c r="B94" s="24" t="s">
        <v>21</v>
      </c>
      <c r="C94" s="24" t="s">
        <v>22</v>
      </c>
      <c r="D94" s="24" t="s">
        <v>23</v>
      </c>
      <c r="E94" s="24" t="s">
        <v>24</v>
      </c>
      <c r="F94" s="24">
        <v>1</v>
      </c>
      <c r="G94" s="24">
        <v>2024.9</v>
      </c>
      <c r="H94" s="24">
        <v>22</v>
      </c>
      <c r="I94" s="24">
        <v>1</v>
      </c>
      <c r="J94" s="24" t="s">
        <v>25</v>
      </c>
      <c r="K94" s="29" t="s">
        <v>909</v>
      </c>
      <c r="L94" s="29" t="s">
        <v>910</v>
      </c>
      <c r="M94" s="14" t="s">
        <v>36</v>
      </c>
      <c r="N94" s="30" t="s">
        <v>160</v>
      </c>
      <c r="O94" s="42" t="s">
        <v>553</v>
      </c>
      <c r="P94" s="42" t="s">
        <v>507</v>
      </c>
      <c r="Q94" s="30"/>
      <c r="R94" s="30"/>
      <c r="S94" s="30"/>
    </row>
    <row r="95" s="46" customFormat="1" ht="24" spans="1:19">
      <c r="A95" s="24" t="s">
        <v>20</v>
      </c>
      <c r="B95" s="24" t="s">
        <v>21</v>
      </c>
      <c r="C95" s="24" t="s">
        <v>22</v>
      </c>
      <c r="D95" s="24" t="s">
        <v>23</v>
      </c>
      <c r="E95" s="24" t="s">
        <v>24</v>
      </c>
      <c r="F95" s="24">
        <v>1</v>
      </c>
      <c r="G95" s="24">
        <v>2024.9</v>
      </c>
      <c r="H95" s="24">
        <v>22</v>
      </c>
      <c r="I95" s="24">
        <v>1</v>
      </c>
      <c r="J95" s="24" t="s">
        <v>25</v>
      </c>
      <c r="K95" s="29" t="s">
        <v>911</v>
      </c>
      <c r="L95" s="29" t="s">
        <v>912</v>
      </c>
      <c r="M95" s="14" t="s">
        <v>36</v>
      </c>
      <c r="N95" s="30" t="s">
        <v>862</v>
      </c>
      <c r="O95" s="42" t="s">
        <v>553</v>
      </c>
      <c r="P95" s="42" t="s">
        <v>507</v>
      </c>
      <c r="Q95" s="30"/>
      <c r="R95" s="30"/>
      <c r="S95" s="30"/>
    </row>
    <row r="96" s="46" customFormat="1" ht="24" spans="1:19">
      <c r="A96" s="24" t="s">
        <v>20</v>
      </c>
      <c r="B96" s="24" t="s">
        <v>21</v>
      </c>
      <c r="C96" s="24" t="s">
        <v>22</v>
      </c>
      <c r="D96" s="24" t="s">
        <v>23</v>
      </c>
      <c r="E96" s="24" t="s">
        <v>24</v>
      </c>
      <c r="F96" s="24">
        <v>1</v>
      </c>
      <c r="G96" s="24">
        <v>2024.9</v>
      </c>
      <c r="H96" s="24">
        <v>22</v>
      </c>
      <c r="I96" s="24">
        <v>1</v>
      </c>
      <c r="J96" s="24" t="s">
        <v>25</v>
      </c>
      <c r="K96" s="29" t="s">
        <v>913</v>
      </c>
      <c r="L96" s="29" t="s">
        <v>914</v>
      </c>
      <c r="M96" s="14" t="s">
        <v>830</v>
      </c>
      <c r="N96" s="30" t="s">
        <v>160</v>
      </c>
      <c r="O96" s="42" t="s">
        <v>553</v>
      </c>
      <c r="P96" s="42" t="s">
        <v>507</v>
      </c>
      <c r="Q96" s="30"/>
      <c r="R96" s="30"/>
      <c r="S96" s="30"/>
    </row>
    <row r="97" s="46" customFormat="1" ht="48" spans="1:19">
      <c r="A97" s="24" t="s">
        <v>62</v>
      </c>
      <c r="B97" s="24" t="s">
        <v>63</v>
      </c>
      <c r="C97" s="24" t="s">
        <v>64</v>
      </c>
      <c r="D97" s="15" t="s">
        <v>80</v>
      </c>
      <c r="E97" s="15" t="s">
        <v>81</v>
      </c>
      <c r="F97" s="14">
        <v>1</v>
      </c>
      <c r="G97" s="14">
        <v>2024.7</v>
      </c>
      <c r="H97" s="15">
        <v>19</v>
      </c>
      <c r="I97" s="14">
        <v>1</v>
      </c>
      <c r="J97" s="24" t="s">
        <v>488</v>
      </c>
      <c r="K97" s="19" t="s">
        <v>809</v>
      </c>
      <c r="L97" s="19" t="s">
        <v>915</v>
      </c>
      <c r="M97" s="14" t="s">
        <v>36</v>
      </c>
      <c r="N97" s="30" t="s">
        <v>916</v>
      </c>
      <c r="O97" s="31" t="s">
        <v>563</v>
      </c>
      <c r="P97" s="30" t="s">
        <v>917</v>
      </c>
      <c r="Q97" s="30"/>
      <c r="R97" s="30"/>
      <c r="S97" s="30"/>
    </row>
    <row r="98" s="46" customFormat="1" ht="36" spans="1:19">
      <c r="A98" s="24" t="s">
        <v>62</v>
      </c>
      <c r="B98" s="24" t="s">
        <v>63</v>
      </c>
      <c r="C98" s="24" t="s">
        <v>64</v>
      </c>
      <c r="D98" s="15" t="s">
        <v>918</v>
      </c>
      <c r="E98" s="15" t="s">
        <v>919</v>
      </c>
      <c r="F98" s="14">
        <v>9</v>
      </c>
      <c r="G98" s="14">
        <v>2025.6</v>
      </c>
      <c r="H98" s="15">
        <v>16</v>
      </c>
      <c r="I98" s="14">
        <v>9</v>
      </c>
      <c r="J98" s="24" t="s">
        <v>488</v>
      </c>
      <c r="K98" s="19" t="s">
        <v>920</v>
      </c>
      <c r="L98" s="19" t="s">
        <v>921</v>
      </c>
      <c r="M98" s="15" t="s">
        <v>36</v>
      </c>
      <c r="N98" s="15" t="s">
        <v>817</v>
      </c>
      <c r="O98" s="31" t="s">
        <v>563</v>
      </c>
      <c r="P98" s="30" t="s">
        <v>922</v>
      </c>
      <c r="Q98" s="30"/>
      <c r="R98" s="30"/>
      <c r="S98" s="30"/>
    </row>
    <row r="99" s="46" customFormat="1" ht="36" spans="1:19">
      <c r="A99" s="24" t="s">
        <v>62</v>
      </c>
      <c r="B99" s="24" t="s">
        <v>63</v>
      </c>
      <c r="C99" s="24" t="s">
        <v>64</v>
      </c>
      <c r="D99" s="24" t="s">
        <v>767</v>
      </c>
      <c r="E99" s="24" t="s">
        <v>66</v>
      </c>
      <c r="F99" s="24">
        <v>1</v>
      </c>
      <c r="G99" s="24">
        <v>2024.6</v>
      </c>
      <c r="H99" s="24">
        <v>29</v>
      </c>
      <c r="I99" s="24">
        <v>1</v>
      </c>
      <c r="J99" s="24" t="s">
        <v>488</v>
      </c>
      <c r="K99" s="19" t="s">
        <v>923</v>
      </c>
      <c r="L99" s="19" t="s">
        <v>924</v>
      </c>
      <c r="M99" s="15" t="s">
        <v>36</v>
      </c>
      <c r="N99" s="15" t="s">
        <v>817</v>
      </c>
      <c r="O99" s="42" t="s">
        <v>521</v>
      </c>
      <c r="P99" s="42" t="s">
        <v>674</v>
      </c>
      <c r="Q99" s="30"/>
      <c r="R99" s="30"/>
      <c r="S99" s="30"/>
    </row>
    <row r="100" s="46" customFormat="1" ht="12" spans="1:19">
      <c r="A100" s="24" t="s">
        <v>62</v>
      </c>
      <c r="B100" s="24" t="s">
        <v>63</v>
      </c>
      <c r="C100" s="24" t="s">
        <v>64</v>
      </c>
      <c r="D100" s="24" t="s">
        <v>712</v>
      </c>
      <c r="E100" s="24" t="s">
        <v>713</v>
      </c>
      <c r="F100" s="24">
        <v>1</v>
      </c>
      <c r="G100" s="24">
        <v>2025.4</v>
      </c>
      <c r="H100" s="24">
        <v>8</v>
      </c>
      <c r="I100" s="24">
        <v>1</v>
      </c>
      <c r="J100" s="24" t="s">
        <v>488</v>
      </c>
      <c r="K100" s="19" t="s">
        <v>925</v>
      </c>
      <c r="L100" s="19" t="s">
        <v>926</v>
      </c>
      <c r="M100" s="15" t="s">
        <v>36</v>
      </c>
      <c r="N100" s="15" t="s">
        <v>133</v>
      </c>
      <c r="O100" s="42" t="s">
        <v>773</v>
      </c>
      <c r="P100" s="42" t="s">
        <v>499</v>
      </c>
      <c r="Q100" s="30"/>
      <c r="R100" s="30"/>
      <c r="S100" s="30"/>
    </row>
    <row r="101" s="46" customFormat="1" ht="24" spans="1:19">
      <c r="A101" s="24" t="s">
        <v>62</v>
      </c>
      <c r="B101" s="24" t="s">
        <v>63</v>
      </c>
      <c r="C101" s="24" t="s">
        <v>64</v>
      </c>
      <c r="D101" s="24" t="s">
        <v>776</v>
      </c>
      <c r="E101" s="24" t="s">
        <v>777</v>
      </c>
      <c r="F101" s="24">
        <v>1</v>
      </c>
      <c r="G101" s="24">
        <v>2025.4</v>
      </c>
      <c r="H101" s="24">
        <v>8</v>
      </c>
      <c r="I101" s="24">
        <v>1</v>
      </c>
      <c r="J101" s="24" t="s">
        <v>488</v>
      </c>
      <c r="K101" s="19" t="s">
        <v>927</v>
      </c>
      <c r="L101" s="19" t="s">
        <v>928</v>
      </c>
      <c r="M101" s="15" t="s">
        <v>36</v>
      </c>
      <c r="N101" s="15" t="s">
        <v>133</v>
      </c>
      <c r="O101" s="42" t="s">
        <v>498</v>
      </c>
      <c r="P101" s="42" t="s">
        <v>519</v>
      </c>
      <c r="Q101" s="30"/>
      <c r="R101" s="30"/>
      <c r="S101" s="30"/>
    </row>
    <row r="102" s="46" customFormat="1" ht="24" spans="1:19">
      <c r="A102" s="24" t="s">
        <v>62</v>
      </c>
      <c r="B102" s="24" t="s">
        <v>63</v>
      </c>
      <c r="C102" s="24" t="s">
        <v>64</v>
      </c>
      <c r="D102" s="24" t="s">
        <v>435</v>
      </c>
      <c r="E102" s="24" t="s">
        <v>556</v>
      </c>
      <c r="F102" s="24">
        <v>1</v>
      </c>
      <c r="G102" s="24">
        <v>2025.6</v>
      </c>
      <c r="H102" s="24">
        <v>11</v>
      </c>
      <c r="I102" s="24">
        <v>1</v>
      </c>
      <c r="J102" s="24" t="s">
        <v>488</v>
      </c>
      <c r="K102" s="19" t="s">
        <v>929</v>
      </c>
      <c r="L102" s="19" t="s">
        <v>930</v>
      </c>
      <c r="M102" s="15" t="s">
        <v>36</v>
      </c>
      <c r="N102" s="15" t="s">
        <v>817</v>
      </c>
      <c r="O102" s="42" t="s">
        <v>559</v>
      </c>
      <c r="P102" s="42" t="s">
        <v>560</v>
      </c>
      <c r="Q102" s="30"/>
      <c r="R102" s="30"/>
      <c r="S102" s="30"/>
    </row>
    <row r="103" s="46" customFormat="1" ht="24" spans="1:19">
      <c r="A103" s="13" t="s">
        <v>149</v>
      </c>
      <c r="B103" s="13" t="s">
        <v>21</v>
      </c>
      <c r="C103" s="13" t="s">
        <v>492</v>
      </c>
      <c r="D103" s="13" t="s">
        <v>493</v>
      </c>
      <c r="E103" s="13" t="s">
        <v>494</v>
      </c>
      <c r="F103" s="13">
        <v>20</v>
      </c>
      <c r="G103" s="13">
        <v>2024.11</v>
      </c>
      <c r="H103" s="13">
        <v>22</v>
      </c>
      <c r="I103" s="13">
        <v>20</v>
      </c>
      <c r="J103" s="24" t="s">
        <v>153</v>
      </c>
      <c r="K103" s="19" t="s">
        <v>931</v>
      </c>
      <c r="L103" s="19" t="s">
        <v>932</v>
      </c>
      <c r="M103" s="14" t="s">
        <v>830</v>
      </c>
      <c r="N103" s="78" t="s">
        <v>160</v>
      </c>
      <c r="O103" s="42" t="s">
        <v>498</v>
      </c>
      <c r="P103" s="42" t="s">
        <v>499</v>
      </c>
      <c r="Q103" s="30"/>
      <c r="R103" s="30"/>
      <c r="S103" s="30"/>
    </row>
    <row r="104" s="46" customFormat="1" ht="12" spans="1:19">
      <c r="A104" s="13" t="s">
        <v>149</v>
      </c>
      <c r="B104" s="13" t="s">
        <v>21</v>
      </c>
      <c r="C104" s="13" t="s">
        <v>492</v>
      </c>
      <c r="D104" s="13" t="s">
        <v>493</v>
      </c>
      <c r="E104" s="13" t="s">
        <v>494</v>
      </c>
      <c r="F104" s="13">
        <v>20</v>
      </c>
      <c r="G104" s="13">
        <v>2024.11</v>
      </c>
      <c r="H104" s="13">
        <v>22</v>
      </c>
      <c r="I104" s="13">
        <v>20</v>
      </c>
      <c r="J104" s="24" t="s">
        <v>153</v>
      </c>
      <c r="K104" s="19" t="s">
        <v>933</v>
      </c>
      <c r="L104" s="19" t="s">
        <v>934</v>
      </c>
      <c r="M104" s="14" t="s">
        <v>830</v>
      </c>
      <c r="N104" s="78" t="s">
        <v>160</v>
      </c>
      <c r="O104" s="42" t="s">
        <v>498</v>
      </c>
      <c r="P104" s="42" t="s">
        <v>499</v>
      </c>
      <c r="Q104" s="30"/>
      <c r="R104" s="30"/>
      <c r="S104" s="30"/>
    </row>
    <row r="105" s="46" customFormat="1" ht="12" spans="1:19">
      <c r="A105" s="13" t="s">
        <v>500</v>
      </c>
      <c r="B105" s="13" t="s">
        <v>21</v>
      </c>
      <c r="C105" s="13" t="s">
        <v>501</v>
      </c>
      <c r="D105" s="13" t="s">
        <v>502</v>
      </c>
      <c r="E105" s="13" t="s">
        <v>503</v>
      </c>
      <c r="F105" s="13">
        <v>329</v>
      </c>
      <c r="G105" s="13">
        <v>2025.3</v>
      </c>
      <c r="H105" s="13">
        <v>17</v>
      </c>
      <c r="I105" s="13">
        <v>329</v>
      </c>
      <c r="J105" s="13" t="s">
        <v>25</v>
      </c>
      <c r="K105" s="29" t="s">
        <v>935</v>
      </c>
      <c r="L105" s="29" t="s">
        <v>936</v>
      </c>
      <c r="M105" s="14" t="s">
        <v>36</v>
      </c>
      <c r="N105" s="78" t="s">
        <v>160</v>
      </c>
      <c r="O105" s="42" t="s">
        <v>506</v>
      </c>
      <c r="P105" s="42" t="s">
        <v>507</v>
      </c>
      <c r="Q105" s="30"/>
      <c r="R105" s="30"/>
      <c r="S105" s="30"/>
    </row>
    <row r="106" s="46" customFormat="1" ht="24" spans="1:19">
      <c r="A106" s="13" t="s">
        <v>313</v>
      </c>
      <c r="B106" s="13" t="s">
        <v>21</v>
      </c>
      <c r="C106" s="13" t="s">
        <v>572</v>
      </c>
      <c r="D106" s="13" t="s">
        <v>328</v>
      </c>
      <c r="E106" s="13" t="s">
        <v>329</v>
      </c>
      <c r="F106" s="13">
        <v>10</v>
      </c>
      <c r="G106" s="13">
        <v>2025.4</v>
      </c>
      <c r="H106" s="13">
        <v>30</v>
      </c>
      <c r="I106" s="13">
        <v>10</v>
      </c>
      <c r="J106" s="13" t="s">
        <v>25</v>
      </c>
      <c r="K106" s="19" t="s">
        <v>937</v>
      </c>
      <c r="L106" s="19" t="s">
        <v>938</v>
      </c>
      <c r="M106" s="15" t="s">
        <v>36</v>
      </c>
      <c r="N106" s="15" t="s">
        <v>862</v>
      </c>
      <c r="O106" s="53" t="s">
        <v>563</v>
      </c>
      <c r="P106" s="53" t="s">
        <v>507</v>
      </c>
      <c r="Q106" s="14"/>
      <c r="R106" s="14"/>
      <c r="S106" s="15"/>
    </row>
    <row r="107" s="46" customFormat="1" ht="24" spans="1:19">
      <c r="A107" s="13" t="s">
        <v>313</v>
      </c>
      <c r="B107" s="13" t="s">
        <v>21</v>
      </c>
      <c r="C107" s="13" t="s">
        <v>572</v>
      </c>
      <c r="D107" s="13" t="s">
        <v>328</v>
      </c>
      <c r="E107" s="13" t="s">
        <v>329</v>
      </c>
      <c r="F107" s="13">
        <v>10</v>
      </c>
      <c r="G107" s="13">
        <v>2025.4</v>
      </c>
      <c r="H107" s="13">
        <v>30</v>
      </c>
      <c r="I107" s="13">
        <v>10</v>
      </c>
      <c r="J107" s="13" t="s">
        <v>25</v>
      </c>
      <c r="K107" s="19" t="s">
        <v>939</v>
      </c>
      <c r="L107" s="19" t="s">
        <v>940</v>
      </c>
      <c r="M107" s="15" t="s">
        <v>36</v>
      </c>
      <c r="N107" s="79" t="s">
        <v>916</v>
      </c>
      <c r="O107" s="53" t="s">
        <v>563</v>
      </c>
      <c r="P107" s="53" t="s">
        <v>507</v>
      </c>
      <c r="Q107" s="14"/>
      <c r="R107" s="14"/>
      <c r="S107" s="15"/>
    </row>
    <row r="108" s="46" customFormat="1" ht="12" spans="1:19">
      <c r="A108" s="13" t="s">
        <v>313</v>
      </c>
      <c r="B108" s="13" t="s">
        <v>21</v>
      </c>
      <c r="C108" s="13" t="s">
        <v>572</v>
      </c>
      <c r="D108" s="13" t="s">
        <v>328</v>
      </c>
      <c r="E108" s="13" t="s">
        <v>329</v>
      </c>
      <c r="F108" s="13">
        <v>10</v>
      </c>
      <c r="G108" s="13">
        <v>2025.4</v>
      </c>
      <c r="H108" s="13">
        <v>30</v>
      </c>
      <c r="I108" s="13">
        <v>10</v>
      </c>
      <c r="J108" s="13" t="s">
        <v>25</v>
      </c>
      <c r="K108" s="19" t="s">
        <v>941</v>
      </c>
      <c r="L108" s="19" t="s">
        <v>942</v>
      </c>
      <c r="M108" s="15" t="s">
        <v>36</v>
      </c>
      <c r="N108" s="79" t="s">
        <v>916</v>
      </c>
      <c r="O108" s="53" t="s">
        <v>563</v>
      </c>
      <c r="P108" s="53" t="s">
        <v>507</v>
      </c>
      <c r="Q108" s="14"/>
      <c r="R108" s="14"/>
      <c r="S108" s="15"/>
    </row>
    <row r="109" s="46" customFormat="1" ht="12" spans="1:19">
      <c r="A109" s="24" t="s">
        <v>254</v>
      </c>
      <c r="B109" s="24" t="s">
        <v>21</v>
      </c>
      <c r="C109" s="24" t="s">
        <v>281</v>
      </c>
      <c r="D109" s="24" t="s">
        <v>282</v>
      </c>
      <c r="E109" s="24" t="s">
        <v>283</v>
      </c>
      <c r="F109" s="24">
        <v>7</v>
      </c>
      <c r="G109" s="24">
        <v>2025.4</v>
      </c>
      <c r="H109" s="24">
        <v>22</v>
      </c>
      <c r="I109" s="24">
        <v>7</v>
      </c>
      <c r="J109" s="24" t="s">
        <v>25</v>
      </c>
      <c r="K109" s="19" t="s">
        <v>290</v>
      </c>
      <c r="L109" s="19" t="s">
        <v>291</v>
      </c>
      <c r="M109" s="14" t="s">
        <v>830</v>
      </c>
      <c r="N109" s="79" t="s">
        <v>160</v>
      </c>
      <c r="O109" s="13" t="s">
        <v>506</v>
      </c>
      <c r="P109" s="13" t="s">
        <v>510</v>
      </c>
      <c r="Q109" s="14"/>
      <c r="R109" s="14"/>
      <c r="S109" s="15"/>
    </row>
    <row r="110" s="46" customFormat="1" ht="24" spans="1:19">
      <c r="A110" s="24" t="s">
        <v>254</v>
      </c>
      <c r="B110" s="24" t="s">
        <v>21</v>
      </c>
      <c r="C110" s="24" t="s">
        <v>281</v>
      </c>
      <c r="D110" s="24" t="s">
        <v>282</v>
      </c>
      <c r="E110" s="24" t="s">
        <v>283</v>
      </c>
      <c r="F110" s="24">
        <v>7</v>
      </c>
      <c r="G110" s="24">
        <v>2025.4</v>
      </c>
      <c r="H110" s="24">
        <v>22</v>
      </c>
      <c r="I110" s="24">
        <v>7</v>
      </c>
      <c r="J110" s="24" t="s">
        <v>25</v>
      </c>
      <c r="K110" s="19" t="s">
        <v>300</v>
      </c>
      <c r="L110" s="19" t="s">
        <v>301</v>
      </c>
      <c r="M110" s="14" t="s">
        <v>36</v>
      </c>
      <c r="N110" s="79" t="s">
        <v>916</v>
      </c>
      <c r="O110" s="13" t="s">
        <v>506</v>
      </c>
      <c r="P110" s="13" t="s">
        <v>510</v>
      </c>
      <c r="Q110" s="14"/>
      <c r="R110" s="14"/>
      <c r="S110" s="15"/>
    </row>
    <row r="111" s="46" customFormat="1" ht="12" spans="1:19">
      <c r="A111" s="24" t="s">
        <v>254</v>
      </c>
      <c r="B111" s="24" t="s">
        <v>21</v>
      </c>
      <c r="C111" s="24" t="s">
        <v>281</v>
      </c>
      <c r="D111" s="24" t="s">
        <v>282</v>
      </c>
      <c r="E111" s="24" t="s">
        <v>283</v>
      </c>
      <c r="F111" s="24">
        <v>7</v>
      </c>
      <c r="G111" s="24">
        <v>2025.4</v>
      </c>
      <c r="H111" s="24">
        <v>22</v>
      </c>
      <c r="I111" s="24">
        <v>7</v>
      </c>
      <c r="J111" s="24" t="s">
        <v>25</v>
      </c>
      <c r="K111" s="19" t="s">
        <v>302</v>
      </c>
      <c r="L111" s="19" t="s">
        <v>303</v>
      </c>
      <c r="M111" s="14" t="s">
        <v>36</v>
      </c>
      <c r="N111" s="79" t="s">
        <v>916</v>
      </c>
      <c r="O111" s="13" t="s">
        <v>506</v>
      </c>
      <c r="P111" s="13" t="s">
        <v>510</v>
      </c>
      <c r="Q111" s="14"/>
      <c r="R111" s="14"/>
      <c r="S111" s="15"/>
    </row>
    <row r="112" s="46" customFormat="1" ht="12" spans="1:19">
      <c r="A112" s="24" t="s">
        <v>254</v>
      </c>
      <c r="B112" s="24" t="s">
        <v>21</v>
      </c>
      <c r="C112" s="24" t="s">
        <v>281</v>
      </c>
      <c r="D112" s="24" t="s">
        <v>282</v>
      </c>
      <c r="E112" s="24" t="s">
        <v>283</v>
      </c>
      <c r="F112" s="24">
        <v>7</v>
      </c>
      <c r="G112" s="24">
        <v>2025.4</v>
      </c>
      <c r="H112" s="24">
        <v>22</v>
      </c>
      <c r="I112" s="24">
        <v>7</v>
      </c>
      <c r="J112" s="24" t="s">
        <v>25</v>
      </c>
      <c r="K112" s="19" t="s">
        <v>860</v>
      </c>
      <c r="L112" s="19" t="s">
        <v>861</v>
      </c>
      <c r="M112" s="14" t="s">
        <v>36</v>
      </c>
      <c r="N112" s="79" t="s">
        <v>862</v>
      </c>
      <c r="O112" s="13" t="s">
        <v>506</v>
      </c>
      <c r="P112" s="13" t="s">
        <v>510</v>
      </c>
      <c r="Q112" s="14"/>
      <c r="R112" s="14"/>
      <c r="S112" s="15"/>
    </row>
    <row r="113" s="46" customFormat="1" ht="24" spans="1:19">
      <c r="A113" s="24" t="s">
        <v>254</v>
      </c>
      <c r="B113" s="24" t="s">
        <v>21</v>
      </c>
      <c r="C113" s="24" t="s">
        <v>513</v>
      </c>
      <c r="D113" s="24" t="s">
        <v>514</v>
      </c>
      <c r="E113" s="24" t="s">
        <v>515</v>
      </c>
      <c r="F113" s="14"/>
      <c r="G113" s="57"/>
      <c r="H113" s="14"/>
      <c r="I113" s="14"/>
      <c r="J113" s="14"/>
      <c r="K113" s="15" t="s">
        <v>943</v>
      </c>
      <c r="L113" s="15" t="s">
        <v>944</v>
      </c>
      <c r="M113" s="15" t="s">
        <v>36</v>
      </c>
      <c r="N113" s="15" t="s">
        <v>862</v>
      </c>
      <c r="O113" s="13" t="s">
        <v>518</v>
      </c>
      <c r="P113" s="68" t="s">
        <v>519</v>
      </c>
      <c r="Q113" s="14"/>
      <c r="R113" s="14"/>
      <c r="S113" s="15"/>
    </row>
    <row r="114" s="46" customFormat="1" ht="24" spans="1:19">
      <c r="A114" s="13" t="s">
        <v>335</v>
      </c>
      <c r="B114" s="14" t="s">
        <v>21</v>
      </c>
      <c r="C114" s="15" t="s">
        <v>150</v>
      </c>
      <c r="D114" s="15" t="s">
        <v>945</v>
      </c>
      <c r="E114" s="14" t="s">
        <v>946</v>
      </c>
      <c r="F114" s="14">
        <v>2</v>
      </c>
      <c r="G114" s="14">
        <v>2024.3</v>
      </c>
      <c r="H114" s="14">
        <v>20</v>
      </c>
      <c r="I114" s="14">
        <v>2</v>
      </c>
      <c r="J114" s="13" t="s">
        <v>25</v>
      </c>
      <c r="K114" s="15" t="s">
        <v>947</v>
      </c>
      <c r="L114" s="15" t="s">
        <v>948</v>
      </c>
      <c r="M114" s="15" t="s">
        <v>36</v>
      </c>
      <c r="N114" s="15" t="s">
        <v>862</v>
      </c>
      <c r="O114" s="14" t="s">
        <v>949</v>
      </c>
      <c r="P114" s="14" t="s">
        <v>498</v>
      </c>
      <c r="Q114" s="14"/>
      <c r="R114" s="14"/>
      <c r="S114" s="15"/>
    </row>
    <row r="115" s="46" customFormat="1" ht="36" spans="1:19">
      <c r="A115" s="13" t="s">
        <v>335</v>
      </c>
      <c r="B115" s="24" t="s">
        <v>21</v>
      </c>
      <c r="C115" s="24" t="s">
        <v>270</v>
      </c>
      <c r="D115" s="24" t="s">
        <v>547</v>
      </c>
      <c r="E115" s="24" t="s">
        <v>548</v>
      </c>
      <c r="F115" s="24">
        <v>8</v>
      </c>
      <c r="G115" s="24">
        <v>2024.11</v>
      </c>
      <c r="H115" s="24">
        <v>27</v>
      </c>
      <c r="I115" s="24">
        <v>8</v>
      </c>
      <c r="J115" s="24" t="s">
        <v>153</v>
      </c>
      <c r="K115" s="19" t="s">
        <v>881</v>
      </c>
      <c r="L115" s="19" t="s">
        <v>882</v>
      </c>
      <c r="M115" s="15" t="s">
        <v>36</v>
      </c>
      <c r="N115" s="79" t="s">
        <v>372</v>
      </c>
      <c r="O115" s="53" t="s">
        <v>559</v>
      </c>
      <c r="P115" s="53" t="s">
        <v>499</v>
      </c>
      <c r="Q115" s="14"/>
      <c r="R115" s="14"/>
      <c r="S115" s="15"/>
    </row>
    <row r="116" s="46" customFormat="1" ht="36" spans="1:19">
      <c r="A116" s="13" t="s">
        <v>335</v>
      </c>
      <c r="B116" s="24" t="s">
        <v>21</v>
      </c>
      <c r="C116" s="24" t="s">
        <v>270</v>
      </c>
      <c r="D116" s="24" t="s">
        <v>547</v>
      </c>
      <c r="E116" s="24" t="s">
        <v>548</v>
      </c>
      <c r="F116" s="24">
        <v>8</v>
      </c>
      <c r="G116" s="24">
        <v>2024.11</v>
      </c>
      <c r="H116" s="24">
        <v>27</v>
      </c>
      <c r="I116" s="24">
        <v>8</v>
      </c>
      <c r="J116" s="24" t="s">
        <v>153</v>
      </c>
      <c r="K116" s="19" t="s">
        <v>950</v>
      </c>
      <c r="L116" s="19" t="s">
        <v>951</v>
      </c>
      <c r="M116" s="15" t="s">
        <v>36</v>
      </c>
      <c r="N116" s="79" t="s">
        <v>372</v>
      </c>
      <c r="O116" s="53" t="s">
        <v>559</v>
      </c>
      <c r="P116" s="53" t="s">
        <v>499</v>
      </c>
      <c r="Q116" s="14"/>
      <c r="R116" s="14"/>
      <c r="S116" s="15"/>
    </row>
    <row r="117" s="46" customFormat="1" ht="24" spans="1:19">
      <c r="A117" s="13" t="s">
        <v>335</v>
      </c>
      <c r="B117" s="14" t="s">
        <v>21</v>
      </c>
      <c r="C117" s="15" t="s">
        <v>952</v>
      </c>
      <c r="D117" s="15" t="s">
        <v>953</v>
      </c>
      <c r="E117" s="15" t="s">
        <v>954</v>
      </c>
      <c r="F117" s="14">
        <v>2</v>
      </c>
      <c r="G117" s="14">
        <v>2022.6</v>
      </c>
      <c r="H117" s="14">
        <v>7</v>
      </c>
      <c r="I117" s="14">
        <v>2</v>
      </c>
      <c r="J117" s="14" t="s">
        <v>25</v>
      </c>
      <c r="K117" s="19" t="s">
        <v>955</v>
      </c>
      <c r="L117" s="19" t="s">
        <v>955</v>
      </c>
      <c r="M117" s="15" t="s">
        <v>36</v>
      </c>
      <c r="N117" s="15" t="s">
        <v>862</v>
      </c>
      <c r="O117" s="14" t="s">
        <v>956</v>
      </c>
      <c r="P117" s="14" t="s">
        <v>917</v>
      </c>
      <c r="Q117" s="14"/>
      <c r="R117" s="14"/>
      <c r="S117" s="15"/>
    </row>
    <row r="118" s="46" customFormat="1" ht="12" spans="1:19">
      <c r="A118" s="13" t="s">
        <v>335</v>
      </c>
      <c r="B118" s="24" t="s">
        <v>21</v>
      </c>
      <c r="C118" s="24" t="s">
        <v>522</v>
      </c>
      <c r="D118" s="24" t="s">
        <v>523</v>
      </c>
      <c r="E118" s="24" t="s">
        <v>524</v>
      </c>
      <c r="F118" s="24">
        <v>1</v>
      </c>
      <c r="G118" s="24">
        <v>2025.6</v>
      </c>
      <c r="H118" s="24">
        <v>13</v>
      </c>
      <c r="I118" s="24">
        <v>1</v>
      </c>
      <c r="J118" s="13" t="s">
        <v>153</v>
      </c>
      <c r="K118" s="19" t="s">
        <v>957</v>
      </c>
      <c r="L118" s="19" t="s">
        <v>958</v>
      </c>
      <c r="M118" s="15" t="s">
        <v>36</v>
      </c>
      <c r="N118" s="79" t="s">
        <v>916</v>
      </c>
      <c r="O118" s="53" t="s">
        <v>527</v>
      </c>
      <c r="P118" s="53" t="s">
        <v>507</v>
      </c>
      <c r="Q118" s="14"/>
      <c r="R118" s="14"/>
      <c r="S118" s="15"/>
    </row>
    <row r="119" s="46" customFormat="1" ht="12" spans="1:19">
      <c r="A119" s="13" t="s">
        <v>335</v>
      </c>
      <c r="B119" s="24" t="s">
        <v>21</v>
      </c>
      <c r="C119" s="24" t="s">
        <v>522</v>
      </c>
      <c r="D119" s="24" t="s">
        <v>523</v>
      </c>
      <c r="E119" s="24" t="s">
        <v>524</v>
      </c>
      <c r="F119" s="24">
        <v>1</v>
      </c>
      <c r="G119" s="24">
        <v>2025.6</v>
      </c>
      <c r="H119" s="24">
        <v>13</v>
      </c>
      <c r="I119" s="24">
        <v>1</v>
      </c>
      <c r="J119" s="13" t="s">
        <v>153</v>
      </c>
      <c r="K119" s="19" t="s">
        <v>959</v>
      </c>
      <c r="L119" s="19" t="s">
        <v>960</v>
      </c>
      <c r="M119" s="15" t="s">
        <v>36</v>
      </c>
      <c r="N119" s="79" t="s">
        <v>916</v>
      </c>
      <c r="O119" s="53" t="s">
        <v>527</v>
      </c>
      <c r="P119" s="53" t="s">
        <v>507</v>
      </c>
      <c r="Q119" s="14"/>
      <c r="R119" s="14"/>
      <c r="S119" s="15"/>
    </row>
    <row r="120" s="46" customFormat="1" ht="12" spans="1:19">
      <c r="A120" s="13" t="s">
        <v>335</v>
      </c>
      <c r="B120" s="24" t="s">
        <v>21</v>
      </c>
      <c r="C120" s="24" t="s">
        <v>522</v>
      </c>
      <c r="D120" s="24" t="s">
        <v>523</v>
      </c>
      <c r="E120" s="24" t="s">
        <v>524</v>
      </c>
      <c r="F120" s="24">
        <v>1</v>
      </c>
      <c r="G120" s="24">
        <v>2025.6</v>
      </c>
      <c r="H120" s="24">
        <v>13</v>
      </c>
      <c r="I120" s="24">
        <v>1</v>
      </c>
      <c r="J120" s="13" t="s">
        <v>153</v>
      </c>
      <c r="K120" s="19" t="s">
        <v>961</v>
      </c>
      <c r="L120" s="19" t="s">
        <v>962</v>
      </c>
      <c r="M120" s="15" t="s">
        <v>36</v>
      </c>
      <c r="N120" s="79" t="s">
        <v>916</v>
      </c>
      <c r="O120" s="53" t="s">
        <v>527</v>
      </c>
      <c r="P120" s="53" t="s">
        <v>507</v>
      </c>
      <c r="Q120" s="14"/>
      <c r="R120" s="14"/>
      <c r="S120" s="15"/>
    </row>
    <row r="121" s="46" customFormat="1" ht="12" spans="1:19">
      <c r="A121" s="13" t="s">
        <v>335</v>
      </c>
      <c r="B121" s="24" t="s">
        <v>21</v>
      </c>
      <c r="C121" s="24" t="s">
        <v>522</v>
      </c>
      <c r="D121" s="24" t="s">
        <v>523</v>
      </c>
      <c r="E121" s="24" t="s">
        <v>524</v>
      </c>
      <c r="F121" s="24">
        <v>1</v>
      </c>
      <c r="G121" s="24">
        <v>2025.6</v>
      </c>
      <c r="H121" s="24">
        <v>13</v>
      </c>
      <c r="I121" s="24">
        <v>1</v>
      </c>
      <c r="J121" s="13" t="s">
        <v>153</v>
      </c>
      <c r="K121" s="19" t="s">
        <v>963</v>
      </c>
      <c r="L121" s="19" t="s">
        <v>964</v>
      </c>
      <c r="M121" s="15" t="s">
        <v>36</v>
      </c>
      <c r="N121" s="79" t="s">
        <v>916</v>
      </c>
      <c r="O121" s="53" t="s">
        <v>527</v>
      </c>
      <c r="P121" s="53" t="s">
        <v>507</v>
      </c>
      <c r="Q121" s="14"/>
      <c r="R121" s="14"/>
      <c r="S121" s="15"/>
    </row>
    <row r="122" s="46" customFormat="1" ht="12" spans="1:19">
      <c r="A122" s="13" t="s">
        <v>335</v>
      </c>
      <c r="B122" s="24" t="s">
        <v>21</v>
      </c>
      <c r="C122" s="24" t="s">
        <v>522</v>
      </c>
      <c r="D122" s="24" t="s">
        <v>523</v>
      </c>
      <c r="E122" s="24" t="s">
        <v>524</v>
      </c>
      <c r="F122" s="24">
        <v>1</v>
      </c>
      <c r="G122" s="24">
        <v>2025.6</v>
      </c>
      <c r="H122" s="24">
        <v>13</v>
      </c>
      <c r="I122" s="24">
        <v>1</v>
      </c>
      <c r="J122" s="13" t="s">
        <v>153</v>
      </c>
      <c r="K122" s="19" t="s">
        <v>965</v>
      </c>
      <c r="L122" s="19" t="s">
        <v>966</v>
      </c>
      <c r="M122" s="15" t="s">
        <v>36</v>
      </c>
      <c r="N122" s="79" t="s">
        <v>916</v>
      </c>
      <c r="O122" s="53" t="s">
        <v>527</v>
      </c>
      <c r="P122" s="53" t="s">
        <v>507</v>
      </c>
      <c r="Q122" s="14"/>
      <c r="R122" s="14"/>
      <c r="S122" s="15"/>
    </row>
    <row r="123" s="46" customFormat="1" ht="36" spans="1:19">
      <c r="A123" s="13" t="s">
        <v>170</v>
      </c>
      <c r="B123" s="24" t="s">
        <v>63</v>
      </c>
      <c r="C123" s="24" t="s">
        <v>171</v>
      </c>
      <c r="D123" s="24" t="s">
        <v>172</v>
      </c>
      <c r="E123" s="24" t="s">
        <v>173</v>
      </c>
      <c r="F123" s="13">
        <v>2</v>
      </c>
      <c r="G123" s="13">
        <v>2025.3</v>
      </c>
      <c r="H123" s="13">
        <v>18</v>
      </c>
      <c r="I123" s="13">
        <v>2</v>
      </c>
      <c r="J123" s="13" t="s">
        <v>153</v>
      </c>
      <c r="K123" s="19" t="s">
        <v>967</v>
      </c>
      <c r="L123" s="19" t="s">
        <v>968</v>
      </c>
      <c r="M123" s="15" t="s">
        <v>36</v>
      </c>
      <c r="N123" s="79" t="s">
        <v>969</v>
      </c>
      <c r="O123" s="53" t="s">
        <v>970</v>
      </c>
      <c r="P123" s="53" t="s">
        <v>571</v>
      </c>
      <c r="Q123" s="14"/>
      <c r="R123" s="14"/>
      <c r="S123" s="15"/>
    </row>
    <row r="124" s="46" customFormat="1" ht="24" spans="1:19">
      <c r="A124" s="13" t="s">
        <v>170</v>
      </c>
      <c r="B124" s="24" t="s">
        <v>63</v>
      </c>
      <c r="C124" s="24" t="s">
        <v>171</v>
      </c>
      <c r="D124" s="24" t="s">
        <v>172</v>
      </c>
      <c r="E124" s="24" t="s">
        <v>173</v>
      </c>
      <c r="F124" s="13">
        <v>2</v>
      </c>
      <c r="G124" s="13">
        <v>2025.3</v>
      </c>
      <c r="H124" s="13">
        <v>18</v>
      </c>
      <c r="I124" s="13">
        <v>2</v>
      </c>
      <c r="J124" s="13" t="s">
        <v>153</v>
      </c>
      <c r="K124" s="19" t="s">
        <v>540</v>
      </c>
      <c r="L124" s="19" t="s">
        <v>971</v>
      </c>
      <c r="M124" s="15" t="s">
        <v>36</v>
      </c>
      <c r="N124" s="79" t="s">
        <v>969</v>
      </c>
      <c r="O124" s="53" t="s">
        <v>970</v>
      </c>
      <c r="P124" s="53" t="s">
        <v>571</v>
      </c>
      <c r="Q124" s="14"/>
      <c r="R124" s="14"/>
      <c r="S124" s="15"/>
    </row>
    <row r="125" s="46" customFormat="1" ht="24" spans="1:19">
      <c r="A125" s="13" t="s">
        <v>170</v>
      </c>
      <c r="B125" s="13" t="s">
        <v>63</v>
      </c>
      <c r="C125" s="13" t="s">
        <v>171</v>
      </c>
      <c r="D125" s="13" t="s">
        <v>454</v>
      </c>
      <c r="E125" s="13" t="s">
        <v>195</v>
      </c>
      <c r="F125" s="13">
        <v>3</v>
      </c>
      <c r="G125" s="13">
        <v>2025.4</v>
      </c>
      <c r="H125" s="13">
        <v>9</v>
      </c>
      <c r="I125" s="13">
        <v>3</v>
      </c>
      <c r="J125" s="13" t="s">
        <v>153</v>
      </c>
      <c r="K125" s="19" t="s">
        <v>972</v>
      </c>
      <c r="L125" s="19" t="s">
        <v>973</v>
      </c>
      <c r="M125" s="15" t="s">
        <v>36</v>
      </c>
      <c r="N125" s="79" t="s">
        <v>974</v>
      </c>
      <c r="O125" s="53" t="s">
        <v>956</v>
      </c>
      <c r="P125" s="53" t="s">
        <v>956</v>
      </c>
      <c r="Q125" s="14"/>
      <c r="R125" s="14"/>
      <c r="S125" s="15"/>
    </row>
    <row r="126" s="46" customFormat="1" ht="36" spans="1:19">
      <c r="A126" s="13" t="s">
        <v>170</v>
      </c>
      <c r="B126" s="13" t="s">
        <v>63</v>
      </c>
      <c r="C126" s="13" t="s">
        <v>171</v>
      </c>
      <c r="D126" s="13" t="s">
        <v>454</v>
      </c>
      <c r="E126" s="13" t="s">
        <v>195</v>
      </c>
      <c r="F126" s="13">
        <v>3</v>
      </c>
      <c r="G126" s="13">
        <v>2025.4</v>
      </c>
      <c r="H126" s="13">
        <v>9</v>
      </c>
      <c r="I126" s="13">
        <v>3</v>
      </c>
      <c r="J126" s="13" t="s">
        <v>153</v>
      </c>
      <c r="K126" s="19" t="s">
        <v>975</v>
      </c>
      <c r="L126" s="19" t="s">
        <v>976</v>
      </c>
      <c r="M126" s="15" t="s">
        <v>36</v>
      </c>
      <c r="N126" s="79" t="s">
        <v>974</v>
      </c>
      <c r="O126" s="53" t="s">
        <v>956</v>
      </c>
      <c r="P126" s="53" t="s">
        <v>956</v>
      </c>
      <c r="Q126" s="14"/>
      <c r="R126" s="14"/>
      <c r="S126" s="15"/>
    </row>
    <row r="127" s="46" customFormat="1" ht="24" spans="1:19">
      <c r="A127" s="13" t="s">
        <v>170</v>
      </c>
      <c r="B127" s="13" t="s">
        <v>63</v>
      </c>
      <c r="C127" s="13" t="s">
        <v>171</v>
      </c>
      <c r="D127" s="13" t="s">
        <v>454</v>
      </c>
      <c r="E127" s="13" t="s">
        <v>195</v>
      </c>
      <c r="F127" s="13">
        <v>3</v>
      </c>
      <c r="G127" s="13">
        <v>2025.4</v>
      </c>
      <c r="H127" s="13">
        <v>9</v>
      </c>
      <c r="I127" s="13">
        <v>3</v>
      </c>
      <c r="J127" s="13" t="s">
        <v>153</v>
      </c>
      <c r="K127" s="19" t="s">
        <v>975</v>
      </c>
      <c r="L127" s="19" t="s">
        <v>977</v>
      </c>
      <c r="M127" s="15" t="s">
        <v>36</v>
      </c>
      <c r="N127" s="79" t="s">
        <v>974</v>
      </c>
      <c r="O127" s="53" t="s">
        <v>956</v>
      </c>
      <c r="P127" s="53" t="s">
        <v>956</v>
      </c>
      <c r="Q127" s="14"/>
      <c r="R127" s="14"/>
      <c r="S127" s="15"/>
    </row>
    <row r="128" s="46" customFormat="1" ht="24" spans="1:19">
      <c r="A128" s="13" t="s">
        <v>170</v>
      </c>
      <c r="B128" s="13" t="s">
        <v>63</v>
      </c>
      <c r="C128" s="13" t="s">
        <v>171</v>
      </c>
      <c r="D128" s="13" t="s">
        <v>454</v>
      </c>
      <c r="E128" s="13" t="s">
        <v>195</v>
      </c>
      <c r="F128" s="13">
        <v>3</v>
      </c>
      <c r="G128" s="13">
        <v>2025.4</v>
      </c>
      <c r="H128" s="13">
        <v>9</v>
      </c>
      <c r="I128" s="13">
        <v>3</v>
      </c>
      <c r="J128" s="13" t="s">
        <v>153</v>
      </c>
      <c r="K128" s="19" t="s">
        <v>975</v>
      </c>
      <c r="L128" s="19" t="s">
        <v>977</v>
      </c>
      <c r="M128" s="15" t="s">
        <v>36</v>
      </c>
      <c r="N128" s="79" t="s">
        <v>974</v>
      </c>
      <c r="O128" s="53" t="s">
        <v>956</v>
      </c>
      <c r="P128" s="53" t="s">
        <v>956</v>
      </c>
      <c r="Q128" s="14"/>
      <c r="R128" s="14"/>
      <c r="S128" s="15"/>
    </row>
    <row r="129" s="46" customFormat="1" ht="12" spans="1:19">
      <c r="A129" s="13" t="s">
        <v>170</v>
      </c>
      <c r="B129" s="14" t="s">
        <v>63</v>
      </c>
      <c r="C129" s="15" t="s">
        <v>171</v>
      </c>
      <c r="D129" s="15" t="s">
        <v>206</v>
      </c>
      <c r="E129" s="14" t="s">
        <v>207</v>
      </c>
      <c r="F129" s="14">
        <v>2</v>
      </c>
      <c r="G129" s="14">
        <v>2025.4</v>
      </c>
      <c r="H129" s="14">
        <v>18</v>
      </c>
      <c r="I129" s="14">
        <v>2</v>
      </c>
      <c r="J129" s="14" t="s">
        <v>153</v>
      </c>
      <c r="K129" s="19" t="s">
        <v>978</v>
      </c>
      <c r="L129" s="19" t="s">
        <v>979</v>
      </c>
      <c r="M129" s="15" t="s">
        <v>36</v>
      </c>
      <c r="N129" s="79" t="s">
        <v>916</v>
      </c>
      <c r="O129" s="14" t="s">
        <v>563</v>
      </c>
      <c r="P129" s="14" t="s">
        <v>507</v>
      </c>
      <c r="Q129" s="14"/>
      <c r="R129" s="14"/>
      <c r="S129" s="15"/>
    </row>
    <row r="130" s="46" customFormat="1" ht="24" spans="1:19">
      <c r="A130" s="13" t="s">
        <v>476</v>
      </c>
      <c r="B130" s="13" t="s">
        <v>21</v>
      </c>
      <c r="C130" s="13" t="s">
        <v>367</v>
      </c>
      <c r="D130" s="13" t="s">
        <v>368</v>
      </c>
      <c r="E130" s="13" t="s">
        <v>369</v>
      </c>
      <c r="F130" s="13">
        <v>11</v>
      </c>
      <c r="G130" s="13">
        <v>2025.2</v>
      </c>
      <c r="H130" s="13">
        <v>22</v>
      </c>
      <c r="I130" s="13">
        <v>11</v>
      </c>
      <c r="J130" s="13" t="s">
        <v>590</v>
      </c>
      <c r="K130" s="15" t="s">
        <v>980</v>
      </c>
      <c r="L130" s="19" t="s">
        <v>981</v>
      </c>
      <c r="M130" s="15" t="s">
        <v>36</v>
      </c>
      <c r="N130" s="15" t="s">
        <v>982</v>
      </c>
      <c r="O130" s="53" t="s">
        <v>506</v>
      </c>
      <c r="P130" s="53" t="s">
        <v>507</v>
      </c>
      <c r="Q130" s="14"/>
      <c r="R130" s="14"/>
      <c r="S130" s="15"/>
    </row>
    <row r="131" s="46" customFormat="1" ht="12" spans="1:19">
      <c r="A131" s="13" t="s">
        <v>311</v>
      </c>
      <c r="B131" s="13" t="s">
        <v>21</v>
      </c>
      <c r="C131" s="13" t="s">
        <v>150</v>
      </c>
      <c r="D131" s="13" t="s">
        <v>983</v>
      </c>
      <c r="E131" s="13" t="s">
        <v>152</v>
      </c>
      <c r="F131" s="13">
        <v>1</v>
      </c>
      <c r="G131" s="13">
        <v>2024.12</v>
      </c>
      <c r="H131" s="13">
        <v>30</v>
      </c>
      <c r="I131" s="13">
        <v>1</v>
      </c>
      <c r="J131" s="13" t="s">
        <v>153</v>
      </c>
      <c r="K131" s="19" t="s">
        <v>984</v>
      </c>
      <c r="L131" s="19" t="s">
        <v>985</v>
      </c>
      <c r="M131" s="14" t="s">
        <v>36</v>
      </c>
      <c r="N131" s="79" t="s">
        <v>862</v>
      </c>
      <c r="O131" s="53" t="s">
        <v>773</v>
      </c>
      <c r="P131" s="53" t="s">
        <v>527</v>
      </c>
      <c r="Q131" s="14"/>
      <c r="R131" s="14"/>
      <c r="S131" s="15"/>
    </row>
    <row r="132" s="46" customFormat="1" ht="12" spans="1:19">
      <c r="A132" s="13" t="s">
        <v>311</v>
      </c>
      <c r="B132" s="13" t="s">
        <v>21</v>
      </c>
      <c r="C132" s="13" t="s">
        <v>150</v>
      </c>
      <c r="D132" s="13" t="s">
        <v>983</v>
      </c>
      <c r="E132" s="13" t="s">
        <v>152</v>
      </c>
      <c r="F132" s="13">
        <v>1</v>
      </c>
      <c r="G132" s="13">
        <v>2024.12</v>
      </c>
      <c r="H132" s="13">
        <v>30</v>
      </c>
      <c r="I132" s="13">
        <v>1</v>
      </c>
      <c r="J132" s="13" t="s">
        <v>153</v>
      </c>
      <c r="K132" s="15" t="s">
        <v>986</v>
      </c>
      <c r="L132" s="15" t="s">
        <v>987</v>
      </c>
      <c r="M132" s="15" t="s">
        <v>36</v>
      </c>
      <c r="N132" s="80" t="s">
        <v>862</v>
      </c>
      <c r="O132" s="53" t="s">
        <v>773</v>
      </c>
      <c r="P132" s="53" t="s">
        <v>527</v>
      </c>
      <c r="Q132" s="14"/>
      <c r="R132" s="14"/>
      <c r="S132" s="15"/>
    </row>
    <row r="133" s="46" customFormat="1" ht="36" spans="1:19">
      <c r="A133" s="13" t="s">
        <v>311</v>
      </c>
      <c r="B133" s="14" t="s">
        <v>21</v>
      </c>
      <c r="C133" s="15" t="s">
        <v>802</v>
      </c>
      <c r="D133" s="15" t="s">
        <v>474</v>
      </c>
      <c r="E133" s="15" t="s">
        <v>988</v>
      </c>
      <c r="F133" s="14">
        <v>2</v>
      </c>
      <c r="G133" s="14">
        <v>2025.5</v>
      </c>
      <c r="H133" s="14">
        <v>23</v>
      </c>
      <c r="I133" s="14">
        <v>2</v>
      </c>
      <c r="J133" s="13" t="s">
        <v>153</v>
      </c>
      <c r="K133" s="19" t="s">
        <v>989</v>
      </c>
      <c r="L133" s="19" t="s">
        <v>990</v>
      </c>
      <c r="M133" s="15" t="s">
        <v>36</v>
      </c>
      <c r="N133" s="14" t="s">
        <v>969</v>
      </c>
      <c r="O133" s="14" t="s">
        <v>970</v>
      </c>
      <c r="P133" s="14" t="s">
        <v>917</v>
      </c>
      <c r="Q133" s="14"/>
      <c r="R133" s="14"/>
      <c r="S133" s="15"/>
    </row>
    <row r="134" s="46" customFormat="1" ht="24" spans="1:19">
      <c r="A134" s="13" t="s">
        <v>311</v>
      </c>
      <c r="B134" s="24" t="s">
        <v>63</v>
      </c>
      <c r="C134" s="24" t="s">
        <v>802</v>
      </c>
      <c r="D134" s="24" t="s">
        <v>803</v>
      </c>
      <c r="E134" s="24" t="s">
        <v>804</v>
      </c>
      <c r="F134" s="24">
        <v>3</v>
      </c>
      <c r="G134" s="24">
        <v>2025.3</v>
      </c>
      <c r="H134" s="24">
        <v>17</v>
      </c>
      <c r="I134" s="24">
        <v>3</v>
      </c>
      <c r="J134" s="13" t="s">
        <v>153</v>
      </c>
      <c r="K134" s="19" t="s">
        <v>991</v>
      </c>
      <c r="L134" s="19" t="s">
        <v>992</v>
      </c>
      <c r="M134" s="14" t="s">
        <v>36</v>
      </c>
      <c r="N134" s="14" t="s">
        <v>969</v>
      </c>
      <c r="O134" s="53" t="s">
        <v>667</v>
      </c>
      <c r="P134" s="53" t="s">
        <v>674</v>
      </c>
      <c r="Q134" s="14"/>
      <c r="R134" s="14"/>
      <c r="S134" s="15"/>
    </row>
    <row r="135" s="46" customFormat="1" ht="36" spans="1:19">
      <c r="A135" s="13" t="s">
        <v>311</v>
      </c>
      <c r="B135" s="24" t="s">
        <v>21</v>
      </c>
      <c r="C135" s="24" t="s">
        <v>593</v>
      </c>
      <c r="D135" s="24" t="s">
        <v>594</v>
      </c>
      <c r="E135" s="24" t="s">
        <v>595</v>
      </c>
      <c r="F135" s="24">
        <v>1</v>
      </c>
      <c r="G135" s="24">
        <v>2025.6</v>
      </c>
      <c r="H135" s="24">
        <v>19</v>
      </c>
      <c r="I135" s="24">
        <v>1</v>
      </c>
      <c r="J135" s="13" t="s">
        <v>153</v>
      </c>
      <c r="K135" s="79" t="s">
        <v>596</v>
      </c>
      <c r="L135" s="19" t="s">
        <v>993</v>
      </c>
      <c r="M135" s="14" t="s">
        <v>36</v>
      </c>
      <c r="N135" s="79" t="s">
        <v>862</v>
      </c>
      <c r="O135" s="53" t="s">
        <v>518</v>
      </c>
      <c r="P135" s="53" t="s">
        <v>507</v>
      </c>
      <c r="Q135" s="14"/>
      <c r="R135" s="14"/>
      <c r="S135" s="15"/>
    </row>
  </sheetData>
  <autoFilter xmlns:etc="http://www.wps.cn/officeDocument/2017/etCustomData" ref="A2:S135" etc:filterBottomFollowUsedRange="0">
    <extLst/>
  </autoFilter>
  <mergeCells count="10">
    <mergeCell ref="A1:S1"/>
    <mergeCell ref="B83:B84"/>
    <mergeCell ref="C83:C84"/>
    <mergeCell ref="D83:D84"/>
    <mergeCell ref="E83:E84"/>
    <mergeCell ref="F83:F84"/>
    <mergeCell ref="G83:G84"/>
    <mergeCell ref="H83:H84"/>
    <mergeCell ref="I83:I84"/>
    <mergeCell ref="J83:J84"/>
  </mergeCells>
  <conditionalFormatting sqref="K3:K6">
    <cfRule type="expression" dxfId="0" priority="7">
      <formula>OR($K3="延期",AND(#REF!="严重",$K3=""))</formula>
    </cfRule>
    <cfRule type="expression" dxfId="1" priority="8">
      <formula>$K3="已完成"</formula>
    </cfRule>
  </conditionalFormatting>
  <conditionalFormatting sqref="L3:L6">
    <cfRule type="expression" dxfId="0" priority="5">
      <formula>OR($K3="延期",AND(#REF!="严重",$K3=""))</formula>
    </cfRule>
    <cfRule type="expression" dxfId="1" priority="6">
      <formula>$K3="已完成"</formula>
    </cfRule>
  </conditionalFormatting>
  <conditionalFormatting sqref="K90:K92 K93 K94:K96 K97:K98 K99 K100 K101:K102 K103:K105">
    <cfRule type="expression" dxfId="1" priority="4">
      <formula>$K90="已完成"</formula>
    </cfRule>
    <cfRule type="expression" dxfId="0" priority="3">
      <formula>OR($K90="延期",AND(#REF!="严重",$K90=""))</formula>
    </cfRule>
  </conditionalFormatting>
  <conditionalFormatting sqref="L90:L92 L93 L94:L96 L97:L98 L99 L100 L101:L102 L103:L105">
    <cfRule type="expression" dxfId="1" priority="2">
      <formula>$K90="已完成"</formula>
    </cfRule>
    <cfRule type="expression" dxfId="0" priority="1">
      <formula>OR($K90="延期",AND(#REF!="严重",$K90=""))</formula>
    </cfRule>
  </conditionalFormatting>
  <dataValidations count="1">
    <dataValidation allowBlank="1" showInputMessage="1" showErrorMessage="1" sqref="K105:L105 K3:L6 K90:L96"/>
  </dataValidation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
  <sheetViews>
    <sheetView workbookViewId="0">
      <pane xSplit="1" ySplit="2" topLeftCell="B3" activePane="bottomRight" state="frozen"/>
      <selection/>
      <selection pane="topRight"/>
      <selection pane="bottomLeft"/>
      <selection pane="bottomRight" activeCell="D3" sqref="D3"/>
    </sheetView>
  </sheetViews>
  <sheetFormatPr defaultColWidth="11" defaultRowHeight="13.5"/>
  <cols>
    <col min="1" max="2" width="11" style="2"/>
    <col min="3" max="3" width="11" style="4"/>
    <col min="4" max="4" width="21.2166666666667" style="4" customWidth="1"/>
    <col min="5" max="5" width="14.1666666666667" style="2" customWidth="1"/>
    <col min="6" max="6" width="11" style="2"/>
    <col min="7" max="7" width="12.3583333333333" style="5" customWidth="1"/>
    <col min="8" max="8" width="11.2083333333333" style="2"/>
    <col min="9" max="10" width="11" style="2"/>
    <col min="11" max="11" width="31.6416666666667" style="4" customWidth="1"/>
    <col min="12" max="12" width="40.6416666666667" style="4" customWidth="1"/>
    <col min="13" max="14" width="9.1" style="4"/>
    <col min="15" max="15" width="15" style="2" customWidth="1"/>
    <col min="16" max="16" width="10.6416666666667" style="2" customWidth="1"/>
    <col min="17" max="18" width="9.1" style="2"/>
    <col min="19" max="19" width="17.425" style="4" customWidth="1"/>
    <col min="20" max="16384" width="11" style="2"/>
  </cols>
  <sheetData>
    <row r="1" s="1" customFormat="1" ht="31.5" spans="1:19">
      <c r="A1" s="6" t="s">
        <v>404</v>
      </c>
      <c r="B1" s="7"/>
      <c r="C1" s="8"/>
      <c r="D1" s="8"/>
      <c r="E1" s="7"/>
      <c r="F1" s="7"/>
      <c r="G1" s="9"/>
      <c r="H1" s="7"/>
      <c r="I1" s="7"/>
      <c r="J1" s="7"/>
      <c r="K1" s="7"/>
      <c r="L1" s="7"/>
      <c r="M1" s="7"/>
      <c r="N1" s="7"/>
      <c r="O1" s="7"/>
      <c r="P1" s="7"/>
      <c r="Q1" s="7"/>
      <c r="R1" s="7"/>
      <c r="S1" s="20"/>
    </row>
    <row r="2" s="1" customFormat="1" ht="42.75" spans="1:19">
      <c r="A2" s="10" t="s">
        <v>1</v>
      </c>
      <c r="B2" s="11" t="s">
        <v>2</v>
      </c>
      <c r="C2" s="11" t="s">
        <v>3</v>
      </c>
      <c r="D2" s="12" t="s">
        <v>4</v>
      </c>
      <c r="E2" s="10" t="s">
        <v>5</v>
      </c>
      <c r="F2" s="11" t="s">
        <v>6</v>
      </c>
      <c r="G2" s="12" t="s">
        <v>7</v>
      </c>
      <c r="H2" s="11" t="s">
        <v>8</v>
      </c>
      <c r="I2" s="11" t="s">
        <v>9</v>
      </c>
      <c r="J2" s="11" t="s">
        <v>10</v>
      </c>
      <c r="K2" s="18" t="s">
        <v>11</v>
      </c>
      <c r="L2" s="18" t="s">
        <v>12</v>
      </c>
      <c r="M2" s="18" t="s">
        <v>13</v>
      </c>
      <c r="N2" s="18" t="s">
        <v>14</v>
      </c>
      <c r="O2" s="18" t="s">
        <v>15</v>
      </c>
      <c r="P2" s="18" t="s">
        <v>16</v>
      </c>
      <c r="Q2" s="18" t="s">
        <v>17</v>
      </c>
      <c r="R2" s="18" t="s">
        <v>18</v>
      </c>
      <c r="S2" s="18" t="s">
        <v>19</v>
      </c>
    </row>
    <row r="3" s="2" customFormat="1" ht="162" spans="1:19">
      <c r="A3" s="32" t="s">
        <v>62</v>
      </c>
      <c r="B3" s="32" t="s">
        <v>63</v>
      </c>
      <c r="C3" s="32" t="s">
        <v>64</v>
      </c>
      <c r="D3" s="33" t="s">
        <v>127</v>
      </c>
      <c r="E3" s="33" t="s">
        <v>128</v>
      </c>
      <c r="F3" s="33" t="s">
        <v>129</v>
      </c>
      <c r="G3" s="33">
        <v>2025.4</v>
      </c>
      <c r="H3" s="33">
        <v>14</v>
      </c>
      <c r="I3" s="33" t="s">
        <v>129</v>
      </c>
      <c r="J3" s="33" t="s">
        <v>67</v>
      </c>
      <c r="K3" s="36" t="s">
        <v>417</v>
      </c>
      <c r="L3" s="37" t="s">
        <v>418</v>
      </c>
      <c r="M3" s="37" t="s">
        <v>148</v>
      </c>
      <c r="N3" s="37" t="s">
        <v>148</v>
      </c>
      <c r="O3" s="38" t="s">
        <v>72</v>
      </c>
      <c r="P3" s="38" t="s">
        <v>73</v>
      </c>
      <c r="Q3" s="43"/>
      <c r="R3" s="44"/>
      <c r="S3" s="45"/>
    </row>
    <row r="4" s="2" customFormat="1" spans="1:19">
      <c r="A4" s="34" t="s">
        <v>254</v>
      </c>
      <c r="B4" s="35" t="s">
        <v>21</v>
      </c>
      <c r="C4" s="35" t="s">
        <v>281</v>
      </c>
      <c r="D4" s="35" t="s">
        <v>282</v>
      </c>
      <c r="E4" s="35" t="s">
        <v>283</v>
      </c>
      <c r="F4" s="35">
        <v>6</v>
      </c>
      <c r="G4" s="35">
        <v>2025.4</v>
      </c>
      <c r="H4" s="35">
        <v>22</v>
      </c>
      <c r="I4" s="35">
        <v>6</v>
      </c>
      <c r="J4" s="35" t="s">
        <v>25</v>
      </c>
      <c r="K4" s="39" t="s">
        <v>296</v>
      </c>
      <c r="L4" s="39" t="s">
        <v>297</v>
      </c>
      <c r="M4" s="39" t="s">
        <v>298</v>
      </c>
      <c r="N4" s="40" t="s">
        <v>299</v>
      </c>
      <c r="O4" s="41" t="s">
        <v>72</v>
      </c>
      <c r="P4" s="41" t="s">
        <v>73</v>
      </c>
      <c r="Q4" s="43"/>
      <c r="R4" s="43"/>
      <c r="S4" s="45"/>
    </row>
    <row r="5" s="3" customFormat="1" ht="21" customHeight="1" spans="1:19">
      <c r="A5" s="13" t="s">
        <v>500</v>
      </c>
      <c r="B5" s="13" t="s">
        <v>21</v>
      </c>
      <c r="C5" s="13" t="s">
        <v>501</v>
      </c>
      <c r="D5" s="13" t="s">
        <v>502</v>
      </c>
      <c r="E5" s="13" t="s">
        <v>503</v>
      </c>
      <c r="F5" s="13">
        <v>329</v>
      </c>
      <c r="G5" s="13">
        <v>2025.3</v>
      </c>
      <c r="H5" s="13">
        <v>17</v>
      </c>
      <c r="I5" s="13">
        <v>329</v>
      </c>
      <c r="J5" s="13" t="s">
        <v>25</v>
      </c>
      <c r="K5" s="29" t="s">
        <v>994</v>
      </c>
      <c r="L5" s="29" t="s">
        <v>995</v>
      </c>
      <c r="M5" s="14" t="s">
        <v>298</v>
      </c>
      <c r="N5" s="30" t="s">
        <v>996</v>
      </c>
      <c r="O5" s="42" t="s">
        <v>506</v>
      </c>
      <c r="P5" s="42" t="s">
        <v>507</v>
      </c>
      <c r="Q5" s="30"/>
      <c r="R5" s="30"/>
      <c r="S5" s="30"/>
    </row>
    <row r="6" s="3" customFormat="1" ht="21" customHeight="1" spans="1:19">
      <c r="A6" s="13" t="s">
        <v>500</v>
      </c>
      <c r="B6" s="13" t="s">
        <v>21</v>
      </c>
      <c r="C6" s="13" t="s">
        <v>501</v>
      </c>
      <c r="D6" s="13" t="s">
        <v>502</v>
      </c>
      <c r="E6" s="13" t="s">
        <v>503</v>
      </c>
      <c r="F6" s="13">
        <v>329</v>
      </c>
      <c r="G6" s="13">
        <v>2025.3</v>
      </c>
      <c r="H6" s="13">
        <v>17</v>
      </c>
      <c r="I6" s="13">
        <v>329</v>
      </c>
      <c r="J6" s="13" t="s">
        <v>25</v>
      </c>
      <c r="K6" s="29" t="s">
        <v>997</v>
      </c>
      <c r="L6" s="29" t="s">
        <v>998</v>
      </c>
      <c r="M6" s="14" t="s">
        <v>298</v>
      </c>
      <c r="N6" s="30" t="s">
        <v>996</v>
      </c>
      <c r="O6" s="42" t="s">
        <v>506</v>
      </c>
      <c r="P6" s="42" t="s">
        <v>507</v>
      </c>
      <c r="Q6" s="30"/>
      <c r="R6" s="30"/>
      <c r="S6" s="30"/>
    </row>
    <row r="7" s="3" customFormat="1" spans="3:19">
      <c r="C7" s="16"/>
      <c r="D7" s="16"/>
      <c r="G7" s="17"/>
      <c r="K7" s="16"/>
      <c r="L7" s="16"/>
      <c r="M7" s="16"/>
      <c r="N7" s="16"/>
      <c r="S7" s="16"/>
    </row>
    <row r="8" s="3" customFormat="1" spans="3:19">
      <c r="C8" s="16"/>
      <c r="D8" s="16"/>
      <c r="G8" s="17"/>
      <c r="K8" s="16"/>
      <c r="L8" s="16"/>
      <c r="M8" s="16"/>
      <c r="N8" s="16"/>
      <c r="S8" s="16"/>
    </row>
    <row r="9" s="3" customFormat="1" spans="3:19">
      <c r="C9" s="16"/>
      <c r="D9" s="16"/>
      <c r="G9" s="17"/>
      <c r="K9" s="16"/>
      <c r="L9" s="16"/>
      <c r="M9" s="16"/>
      <c r="N9" s="16"/>
      <c r="S9" s="16"/>
    </row>
    <row r="10" s="3" customFormat="1" spans="3:19">
      <c r="C10" s="16"/>
      <c r="D10" s="16"/>
      <c r="G10" s="17"/>
      <c r="K10" s="16"/>
      <c r="L10" s="16"/>
      <c r="M10" s="16"/>
      <c r="N10" s="16"/>
      <c r="S10" s="16"/>
    </row>
  </sheetData>
  <autoFilter xmlns:etc="http://www.wps.cn/officeDocument/2017/etCustomData" ref="A2:S6" etc:filterBottomFollowUsedRange="0">
    <extLst/>
  </autoFilter>
  <mergeCells count="1">
    <mergeCell ref="A1:S1"/>
  </mergeCells>
  <conditionalFormatting sqref="K5:K6">
    <cfRule type="expression" dxfId="1" priority="4">
      <formula>$K5="已完成"</formula>
    </cfRule>
    <cfRule type="expression" dxfId="0" priority="3">
      <formula>OR($K5="延期",AND(#REF!="严重",$K5=""))</formula>
    </cfRule>
  </conditionalFormatting>
  <conditionalFormatting sqref="L5:L6">
    <cfRule type="expression" dxfId="1" priority="2">
      <formula>$K5="已完成"</formula>
    </cfRule>
    <cfRule type="expression" dxfId="0" priority="1">
      <formula>OR($K5="延期",AND(#REF!="严重",$K5=""))</formula>
    </cfRule>
  </conditionalFormatting>
  <dataValidations count="1">
    <dataValidation allowBlank="1" showInputMessage="1" showErrorMessage="1" sqref="K5:L6"/>
  </dataValidation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
  <sheetViews>
    <sheetView workbookViewId="0">
      <pane xSplit="1" ySplit="2" topLeftCell="B3" activePane="bottomRight" state="frozen"/>
      <selection/>
      <selection pane="topRight"/>
      <selection pane="bottomLeft"/>
      <selection pane="bottomRight" activeCell="E5" sqref="E5"/>
    </sheetView>
  </sheetViews>
  <sheetFormatPr defaultColWidth="11" defaultRowHeight="13.5"/>
  <cols>
    <col min="1" max="2" width="11" style="2"/>
    <col min="3" max="3" width="11" style="4"/>
    <col min="4" max="4" width="21.2166666666667" style="4" customWidth="1"/>
    <col min="5" max="5" width="14.1666666666667" style="2" customWidth="1"/>
    <col min="6" max="6" width="11" style="2"/>
    <col min="7" max="7" width="12.3583333333333" style="5" customWidth="1"/>
    <col min="8" max="8" width="11.2083333333333" style="2"/>
    <col min="9" max="10" width="11" style="2"/>
    <col min="11" max="11" width="31.6416666666667" style="4" customWidth="1"/>
    <col min="12" max="12" width="40.6416666666667" style="4" customWidth="1"/>
    <col min="13" max="14" width="9.1" style="4"/>
    <col min="15" max="15" width="15" style="2" customWidth="1"/>
    <col min="16" max="16" width="10.6416666666667" style="2" customWidth="1"/>
    <col min="17" max="18" width="9.1" style="2"/>
    <col min="19" max="19" width="17.425" style="4" customWidth="1"/>
    <col min="20" max="16384" width="11" style="2"/>
  </cols>
  <sheetData>
    <row r="1" s="1" customFormat="1" ht="31.5" spans="1:19">
      <c r="A1" s="6" t="s">
        <v>404</v>
      </c>
      <c r="B1" s="7"/>
      <c r="C1" s="8"/>
      <c r="D1" s="8"/>
      <c r="E1" s="7"/>
      <c r="F1" s="7"/>
      <c r="G1" s="9"/>
      <c r="H1" s="7"/>
      <c r="I1" s="7"/>
      <c r="J1" s="7"/>
      <c r="K1" s="7"/>
      <c r="L1" s="7"/>
      <c r="M1" s="7"/>
      <c r="N1" s="7"/>
      <c r="O1" s="7"/>
      <c r="P1" s="7"/>
      <c r="Q1" s="7"/>
      <c r="R1" s="7"/>
      <c r="S1" s="20"/>
    </row>
    <row r="2" s="1" customFormat="1" ht="42.75" spans="1:19">
      <c r="A2" s="10" t="s">
        <v>1</v>
      </c>
      <c r="B2" s="11" t="s">
        <v>2</v>
      </c>
      <c r="C2" s="11" t="s">
        <v>3</v>
      </c>
      <c r="D2" s="12" t="s">
        <v>4</v>
      </c>
      <c r="E2" s="10" t="s">
        <v>5</v>
      </c>
      <c r="F2" s="11" t="s">
        <v>6</v>
      </c>
      <c r="G2" s="12" t="s">
        <v>7</v>
      </c>
      <c r="H2" s="11" t="s">
        <v>8</v>
      </c>
      <c r="I2" s="11" t="s">
        <v>9</v>
      </c>
      <c r="J2" s="11" t="s">
        <v>10</v>
      </c>
      <c r="K2" s="18" t="s">
        <v>11</v>
      </c>
      <c r="L2" s="18" t="s">
        <v>12</v>
      </c>
      <c r="M2" s="18" t="s">
        <v>13</v>
      </c>
      <c r="N2" s="18" t="s">
        <v>14</v>
      </c>
      <c r="O2" s="18" t="s">
        <v>15</v>
      </c>
      <c r="P2" s="18" t="s">
        <v>16</v>
      </c>
      <c r="Q2" s="18" t="s">
        <v>17</v>
      </c>
      <c r="R2" s="18" t="s">
        <v>18</v>
      </c>
      <c r="S2" s="18" t="s">
        <v>19</v>
      </c>
    </row>
    <row r="3" s="2" customFormat="1" ht="40.5" spans="1:19">
      <c r="A3" s="21" t="s">
        <v>170</v>
      </c>
      <c r="B3" s="13" t="s">
        <v>63</v>
      </c>
      <c r="C3" s="13" t="s">
        <v>171</v>
      </c>
      <c r="D3" s="13" t="s">
        <v>454</v>
      </c>
      <c r="E3" s="13" t="s">
        <v>195</v>
      </c>
      <c r="F3" s="13">
        <v>3</v>
      </c>
      <c r="G3" s="13">
        <v>2025.4</v>
      </c>
      <c r="H3" s="13">
        <v>9</v>
      </c>
      <c r="I3" s="13">
        <v>3</v>
      </c>
      <c r="J3" s="21" t="s">
        <v>153</v>
      </c>
      <c r="K3" s="25" t="s">
        <v>999</v>
      </c>
      <c r="L3" s="25" t="s">
        <v>1000</v>
      </c>
      <c r="M3" s="26" t="s">
        <v>308</v>
      </c>
      <c r="N3" s="27" t="s">
        <v>1001</v>
      </c>
      <c r="O3" s="28" t="s">
        <v>439</v>
      </c>
      <c r="P3" s="28" t="s">
        <v>440</v>
      </c>
      <c r="Q3" s="26"/>
      <c r="R3" s="26"/>
      <c r="S3" s="27"/>
    </row>
    <row r="4" s="2" customFormat="1" ht="54" spans="1:19">
      <c r="A4" s="21" t="s">
        <v>170</v>
      </c>
      <c r="B4" s="22"/>
      <c r="C4" s="13" t="s">
        <v>171</v>
      </c>
      <c r="D4" s="13"/>
      <c r="E4" s="13"/>
      <c r="F4" s="13"/>
      <c r="G4" s="13"/>
      <c r="H4" s="13"/>
      <c r="I4" s="13"/>
      <c r="J4" s="21" t="s">
        <v>153</v>
      </c>
      <c r="K4" s="25" t="s">
        <v>1002</v>
      </c>
      <c r="L4" s="25" t="s">
        <v>1003</v>
      </c>
      <c r="M4" s="26" t="s">
        <v>308</v>
      </c>
      <c r="N4" s="27" t="s">
        <v>1001</v>
      </c>
      <c r="O4" s="28" t="s">
        <v>439</v>
      </c>
      <c r="P4" s="28" t="s">
        <v>440</v>
      </c>
      <c r="Q4" s="26"/>
      <c r="R4" s="26"/>
      <c r="S4" s="27"/>
    </row>
    <row r="5" s="3" customFormat="1" ht="21" customHeight="1" spans="1:19">
      <c r="A5" s="23" t="s">
        <v>217</v>
      </c>
      <c r="B5" s="23" t="s">
        <v>21</v>
      </c>
      <c r="C5" s="23" t="s">
        <v>218</v>
      </c>
      <c r="D5" s="23" t="s">
        <v>1004</v>
      </c>
      <c r="E5" s="23" t="s">
        <v>1005</v>
      </c>
      <c r="F5" s="23">
        <v>8</v>
      </c>
      <c r="G5" s="21">
        <v>2024.4</v>
      </c>
      <c r="H5" s="21">
        <v>20</v>
      </c>
      <c r="I5" s="21">
        <v>8</v>
      </c>
      <c r="J5" s="21" t="s">
        <v>25</v>
      </c>
      <c r="K5" s="25" t="s">
        <v>1006</v>
      </c>
      <c r="L5" s="25" t="s">
        <v>1007</v>
      </c>
      <c r="M5" s="26" t="s">
        <v>308</v>
      </c>
      <c r="N5" s="26" t="s">
        <v>1008</v>
      </c>
      <c r="O5" s="28" t="s">
        <v>439</v>
      </c>
      <c r="P5" s="28" t="s">
        <v>440</v>
      </c>
      <c r="Q5" s="26"/>
      <c r="R5" s="26"/>
      <c r="S5" s="27"/>
    </row>
    <row r="6" s="3" customFormat="1" ht="21" customHeight="1" spans="1:19">
      <c r="A6" s="23" t="s">
        <v>217</v>
      </c>
      <c r="B6" s="23" t="s">
        <v>21</v>
      </c>
      <c r="C6" s="23" t="s">
        <v>218</v>
      </c>
      <c r="D6" s="23" t="s">
        <v>1004</v>
      </c>
      <c r="E6" s="23" t="s">
        <v>1005</v>
      </c>
      <c r="F6" s="23">
        <v>8</v>
      </c>
      <c r="G6" s="21">
        <v>2024.4</v>
      </c>
      <c r="H6" s="21">
        <v>20</v>
      </c>
      <c r="I6" s="21">
        <v>8</v>
      </c>
      <c r="J6" s="21" t="s">
        <v>25</v>
      </c>
      <c r="K6" s="25" t="s">
        <v>1009</v>
      </c>
      <c r="L6" s="25" t="s">
        <v>1010</v>
      </c>
      <c r="M6" s="26" t="s">
        <v>308</v>
      </c>
      <c r="N6" s="26" t="s">
        <v>1008</v>
      </c>
      <c r="O6" s="28" t="s">
        <v>439</v>
      </c>
      <c r="P6" s="28" t="s">
        <v>440</v>
      </c>
      <c r="Q6" s="26"/>
      <c r="R6" s="26"/>
      <c r="S6" s="27"/>
    </row>
    <row r="7" s="3" customFormat="1" ht="27" spans="1:19">
      <c r="A7" s="23" t="s">
        <v>217</v>
      </c>
      <c r="B7" s="23" t="s">
        <v>21</v>
      </c>
      <c r="C7" s="23" t="s">
        <v>218</v>
      </c>
      <c r="D7" s="23" t="s">
        <v>1004</v>
      </c>
      <c r="E7" s="23" t="s">
        <v>1005</v>
      </c>
      <c r="F7" s="23">
        <v>8</v>
      </c>
      <c r="G7" s="21">
        <v>2024.4</v>
      </c>
      <c r="H7" s="21">
        <v>20</v>
      </c>
      <c r="I7" s="21">
        <v>8</v>
      </c>
      <c r="J7" s="21" t="s">
        <v>25</v>
      </c>
      <c r="K7" s="25" t="s">
        <v>1011</v>
      </c>
      <c r="L7" s="25" t="s">
        <v>1012</v>
      </c>
      <c r="M7" s="26" t="s">
        <v>308</v>
      </c>
      <c r="N7" s="26" t="s">
        <v>1008</v>
      </c>
      <c r="O7" s="28" t="s">
        <v>439</v>
      </c>
      <c r="P7" s="28" t="s">
        <v>440</v>
      </c>
      <c r="Q7" s="26"/>
      <c r="R7" s="26"/>
      <c r="S7" s="27"/>
    </row>
    <row r="8" s="3" customFormat="1" ht="27" spans="1:19">
      <c r="A8" s="23" t="s">
        <v>217</v>
      </c>
      <c r="B8" s="23" t="s">
        <v>21</v>
      </c>
      <c r="C8" s="23" t="s">
        <v>218</v>
      </c>
      <c r="D8" s="23" t="s">
        <v>1004</v>
      </c>
      <c r="E8" s="23" t="s">
        <v>1005</v>
      </c>
      <c r="F8" s="23">
        <v>8</v>
      </c>
      <c r="G8" s="21">
        <v>2024.4</v>
      </c>
      <c r="H8" s="21">
        <v>20</v>
      </c>
      <c r="I8" s="21">
        <v>8</v>
      </c>
      <c r="J8" s="21" t="s">
        <v>25</v>
      </c>
      <c r="K8" s="25" t="s">
        <v>1011</v>
      </c>
      <c r="L8" s="25" t="s">
        <v>1013</v>
      </c>
      <c r="M8" s="26" t="s">
        <v>308</v>
      </c>
      <c r="N8" s="26" t="s">
        <v>1008</v>
      </c>
      <c r="O8" s="28" t="s">
        <v>439</v>
      </c>
      <c r="P8" s="28" t="s">
        <v>440</v>
      </c>
      <c r="Q8" s="26"/>
      <c r="R8" s="26"/>
      <c r="S8" s="27"/>
    </row>
    <row r="9" s="3" customFormat="1" ht="27" spans="1:19">
      <c r="A9" s="23" t="s">
        <v>217</v>
      </c>
      <c r="B9" s="23" t="s">
        <v>21</v>
      </c>
      <c r="C9" s="23" t="s">
        <v>218</v>
      </c>
      <c r="D9" s="23" t="s">
        <v>1004</v>
      </c>
      <c r="E9" s="23" t="s">
        <v>1005</v>
      </c>
      <c r="F9" s="23">
        <v>8</v>
      </c>
      <c r="G9" s="21">
        <v>2024.4</v>
      </c>
      <c r="H9" s="21">
        <v>20</v>
      </c>
      <c r="I9" s="21">
        <v>8</v>
      </c>
      <c r="J9" s="21" t="s">
        <v>25</v>
      </c>
      <c r="K9" s="25" t="s">
        <v>1014</v>
      </c>
      <c r="L9" s="25" t="s">
        <v>1015</v>
      </c>
      <c r="M9" s="26" t="s">
        <v>308</v>
      </c>
      <c r="N9" s="26" t="s">
        <v>1008</v>
      </c>
      <c r="O9" s="28" t="s">
        <v>439</v>
      </c>
      <c r="P9" s="28" t="s">
        <v>440</v>
      </c>
      <c r="Q9" s="26"/>
      <c r="R9" s="26"/>
      <c r="S9" s="27"/>
    </row>
    <row r="10" s="3" customFormat="1" ht="24" spans="1:19">
      <c r="A10" s="24" t="s">
        <v>20</v>
      </c>
      <c r="B10" s="15" t="s">
        <v>21</v>
      </c>
      <c r="C10" s="15" t="s">
        <v>1016</v>
      </c>
      <c r="D10" s="15" t="s">
        <v>1017</v>
      </c>
      <c r="E10" s="14" t="s">
        <v>1018</v>
      </c>
      <c r="F10" s="14">
        <v>19</v>
      </c>
      <c r="G10" s="14">
        <v>2025.6</v>
      </c>
      <c r="H10" s="15">
        <v>17</v>
      </c>
      <c r="I10" s="14">
        <v>19</v>
      </c>
      <c r="J10" s="15" t="s">
        <v>25</v>
      </c>
      <c r="K10" s="29" t="s">
        <v>1019</v>
      </c>
      <c r="L10" s="29" t="s">
        <v>1020</v>
      </c>
      <c r="M10" s="14" t="s">
        <v>308</v>
      </c>
      <c r="N10" s="30" t="s">
        <v>1008</v>
      </c>
      <c r="O10" s="30" t="s">
        <v>510</v>
      </c>
      <c r="P10" s="30" t="s">
        <v>1021</v>
      </c>
      <c r="Q10" s="30"/>
      <c r="R10" s="30"/>
      <c r="S10" s="30"/>
    </row>
    <row r="11" ht="24" spans="1:19">
      <c r="A11" s="24" t="s">
        <v>62</v>
      </c>
      <c r="B11" s="24" t="s">
        <v>63</v>
      </c>
      <c r="C11" s="24" t="s">
        <v>64</v>
      </c>
      <c r="D11" s="15" t="s">
        <v>1022</v>
      </c>
      <c r="E11" s="15" t="s">
        <v>77</v>
      </c>
      <c r="F11" s="14">
        <v>1</v>
      </c>
      <c r="G11" s="14">
        <v>2024.6</v>
      </c>
      <c r="H11" s="15">
        <v>29</v>
      </c>
      <c r="I11" s="14">
        <v>1</v>
      </c>
      <c r="J11" s="24" t="s">
        <v>488</v>
      </c>
      <c r="K11" s="19" t="s">
        <v>1023</v>
      </c>
      <c r="L11" s="19" t="s">
        <v>1024</v>
      </c>
      <c r="M11" s="14" t="s">
        <v>308</v>
      </c>
      <c r="N11" s="30" t="s">
        <v>1025</v>
      </c>
      <c r="O11" s="31" t="s">
        <v>563</v>
      </c>
      <c r="P11" s="30" t="s">
        <v>553</v>
      </c>
      <c r="Q11" s="30"/>
      <c r="R11" s="30"/>
      <c r="S11" s="30"/>
    </row>
  </sheetData>
  <mergeCells count="1">
    <mergeCell ref="A1:S1"/>
  </mergeCells>
  <conditionalFormatting sqref="K5:K6">
    <cfRule type="expression" dxfId="1" priority="8">
      <formula>$K5="已完成"</formula>
    </cfRule>
    <cfRule type="expression" dxfId="0" priority="7">
      <formula>OR($K5="延期",AND(#REF!="严重",$K5=""))</formula>
    </cfRule>
  </conditionalFormatting>
  <conditionalFormatting sqref="K10:K11">
    <cfRule type="expression" dxfId="1" priority="4">
      <formula>$K10="已完成"</formula>
    </cfRule>
    <cfRule type="expression" dxfId="0" priority="3">
      <formula>OR($K10="延期",AND(#REF!="严重",$K10=""))</formula>
    </cfRule>
  </conditionalFormatting>
  <conditionalFormatting sqref="L5:L6">
    <cfRule type="expression" dxfId="1" priority="6">
      <formula>$K5="已完成"</formula>
    </cfRule>
    <cfRule type="expression" dxfId="0" priority="5">
      <formula>OR($K5="延期",AND(#REF!="严重",$K5=""))</formula>
    </cfRule>
  </conditionalFormatting>
  <conditionalFormatting sqref="L10:L11">
    <cfRule type="expression" dxfId="1" priority="2">
      <formula>$K10="已完成"</formula>
    </cfRule>
    <cfRule type="expression" dxfId="0" priority="1">
      <formula>OR($K10="延期",AND(#REF!="严重",$K10=""))</formula>
    </cfRule>
  </conditionalFormatting>
  <dataValidations count="1">
    <dataValidation allowBlank="1" showInputMessage="1" showErrorMessage="1" sqref="K10:L10"/>
  </dataValidation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
  <sheetViews>
    <sheetView workbookViewId="0">
      <pane xSplit="1" ySplit="2" topLeftCell="B3" activePane="bottomRight" state="frozen"/>
      <selection/>
      <selection pane="topRight"/>
      <selection pane="bottomLeft"/>
      <selection pane="bottomRight" activeCell="E9" sqref="E9"/>
    </sheetView>
  </sheetViews>
  <sheetFormatPr defaultColWidth="11" defaultRowHeight="13.5"/>
  <cols>
    <col min="1" max="2" width="11" style="2"/>
    <col min="3" max="3" width="11" style="4"/>
    <col min="4" max="4" width="21.2166666666667" style="4" customWidth="1"/>
    <col min="5" max="5" width="14.1666666666667" style="2" customWidth="1"/>
    <col min="6" max="6" width="11" style="2"/>
    <col min="7" max="7" width="12.3583333333333" style="5" customWidth="1"/>
    <col min="8" max="8" width="11.2083333333333" style="2"/>
    <col min="9" max="10" width="11" style="2"/>
    <col min="11" max="11" width="31.6416666666667" style="4" customWidth="1"/>
    <col min="12" max="12" width="40.6416666666667" style="4" customWidth="1"/>
    <col min="13" max="14" width="9.1" style="4"/>
    <col min="15" max="15" width="15" style="2" customWidth="1"/>
    <col min="16" max="16" width="10.6416666666667" style="2" customWidth="1"/>
    <col min="17" max="18" width="9.1" style="2"/>
    <col min="19" max="19" width="17.425" style="4" customWidth="1"/>
    <col min="20" max="16384" width="11" style="2"/>
  </cols>
  <sheetData>
    <row r="1" s="1" customFormat="1" ht="31.5" spans="1:19">
      <c r="A1" s="6" t="s">
        <v>404</v>
      </c>
      <c r="B1" s="7"/>
      <c r="C1" s="8"/>
      <c r="D1" s="8"/>
      <c r="E1" s="7"/>
      <c r="F1" s="7"/>
      <c r="G1" s="9"/>
      <c r="H1" s="7"/>
      <c r="I1" s="7"/>
      <c r="J1" s="7"/>
      <c r="K1" s="7"/>
      <c r="L1" s="7"/>
      <c r="M1" s="7"/>
      <c r="N1" s="7"/>
      <c r="O1" s="7"/>
      <c r="P1" s="7"/>
      <c r="Q1" s="7"/>
      <c r="R1" s="7"/>
      <c r="S1" s="20"/>
    </row>
    <row r="2" s="1" customFormat="1" ht="42.75" spans="1:19">
      <c r="A2" s="10" t="s">
        <v>1</v>
      </c>
      <c r="B2" s="11" t="s">
        <v>2</v>
      </c>
      <c r="C2" s="11" t="s">
        <v>3</v>
      </c>
      <c r="D2" s="12" t="s">
        <v>4</v>
      </c>
      <c r="E2" s="10" t="s">
        <v>5</v>
      </c>
      <c r="F2" s="11" t="s">
        <v>6</v>
      </c>
      <c r="G2" s="12" t="s">
        <v>7</v>
      </c>
      <c r="H2" s="11" t="s">
        <v>8</v>
      </c>
      <c r="I2" s="11" t="s">
        <v>9</v>
      </c>
      <c r="J2" s="11" t="s">
        <v>10</v>
      </c>
      <c r="K2" s="18" t="s">
        <v>11</v>
      </c>
      <c r="L2" s="18" t="s">
        <v>12</v>
      </c>
      <c r="M2" s="18" t="s">
        <v>13</v>
      </c>
      <c r="N2" s="18" t="s">
        <v>14</v>
      </c>
      <c r="O2" s="18" t="s">
        <v>15</v>
      </c>
      <c r="P2" s="18" t="s">
        <v>16</v>
      </c>
      <c r="Q2" s="18" t="s">
        <v>17</v>
      </c>
      <c r="R2" s="18" t="s">
        <v>18</v>
      </c>
      <c r="S2" s="18" t="s">
        <v>19</v>
      </c>
    </row>
    <row r="3" s="2" customFormat="1" ht="45" customHeight="1" spans="1:19">
      <c r="A3" s="13" t="s">
        <v>170</v>
      </c>
      <c r="B3" s="14" t="s">
        <v>63</v>
      </c>
      <c r="C3" s="15" t="s">
        <v>1026</v>
      </c>
      <c r="D3" s="15" t="s">
        <v>1027</v>
      </c>
      <c r="E3" s="15" t="s">
        <v>1028</v>
      </c>
      <c r="F3" s="14">
        <v>1</v>
      </c>
      <c r="G3" s="14">
        <v>2024.9</v>
      </c>
      <c r="H3" s="14">
        <v>27</v>
      </c>
      <c r="I3" s="14">
        <v>1</v>
      </c>
      <c r="J3" s="14" t="s">
        <v>1029</v>
      </c>
      <c r="K3" s="15" t="s">
        <v>1030</v>
      </c>
      <c r="L3" s="19" t="s">
        <v>1031</v>
      </c>
      <c r="M3" s="15" t="s">
        <v>230</v>
      </c>
      <c r="N3" s="15" t="s">
        <v>1032</v>
      </c>
      <c r="O3" s="14" t="s">
        <v>521</v>
      </c>
      <c r="P3" s="14" t="s">
        <v>949</v>
      </c>
      <c r="Q3" s="14"/>
      <c r="R3" s="14"/>
      <c r="S3" s="15"/>
    </row>
    <row r="4" s="2" customFormat="1" ht="49" customHeight="1" spans="1:19">
      <c r="A4" s="13" t="s">
        <v>476</v>
      </c>
      <c r="B4" s="13" t="s">
        <v>21</v>
      </c>
      <c r="C4" s="13" t="s">
        <v>367</v>
      </c>
      <c r="D4" s="13" t="s">
        <v>368</v>
      </c>
      <c r="E4" s="13" t="s">
        <v>369</v>
      </c>
      <c r="F4" s="13">
        <v>11</v>
      </c>
      <c r="G4" s="13">
        <v>2025.2</v>
      </c>
      <c r="H4" s="13">
        <v>22</v>
      </c>
      <c r="I4" s="13">
        <v>11</v>
      </c>
      <c r="J4" s="13" t="s">
        <v>590</v>
      </c>
      <c r="K4" s="15" t="s">
        <v>591</v>
      </c>
      <c r="L4" s="19" t="s">
        <v>1033</v>
      </c>
      <c r="M4" s="15" t="s">
        <v>230</v>
      </c>
      <c r="N4" s="15" t="s">
        <v>231</v>
      </c>
      <c r="O4" s="13" t="s">
        <v>506</v>
      </c>
      <c r="P4" s="13" t="s">
        <v>507</v>
      </c>
      <c r="Q4" s="14"/>
      <c r="R4" s="14"/>
      <c r="S4" s="15"/>
    </row>
    <row r="5" s="3" customFormat="1" ht="49" customHeight="1" spans="1:19">
      <c r="A5" s="13" t="s">
        <v>476</v>
      </c>
      <c r="B5" s="13" t="s">
        <v>21</v>
      </c>
      <c r="C5" s="13" t="s">
        <v>367</v>
      </c>
      <c r="D5" s="13" t="s">
        <v>368</v>
      </c>
      <c r="E5" s="13" t="s">
        <v>369</v>
      </c>
      <c r="F5" s="13">
        <v>11</v>
      </c>
      <c r="G5" s="13">
        <v>2025.2</v>
      </c>
      <c r="H5" s="13">
        <v>22</v>
      </c>
      <c r="I5" s="13">
        <v>11</v>
      </c>
      <c r="J5" s="13" t="s">
        <v>590</v>
      </c>
      <c r="K5" s="15" t="s">
        <v>591</v>
      </c>
      <c r="L5" s="19" t="s">
        <v>1034</v>
      </c>
      <c r="M5" s="15" t="s">
        <v>230</v>
      </c>
      <c r="N5" s="15" t="s">
        <v>231</v>
      </c>
      <c r="O5" s="13" t="s">
        <v>506</v>
      </c>
      <c r="P5" s="13" t="s">
        <v>507</v>
      </c>
      <c r="Q5" s="14"/>
      <c r="R5" s="14"/>
      <c r="S5" s="15"/>
    </row>
    <row r="6" s="3" customFormat="1" spans="3:19">
      <c r="C6" s="16"/>
      <c r="D6" s="16"/>
      <c r="G6" s="17"/>
      <c r="K6" s="16"/>
      <c r="L6" s="16"/>
      <c r="M6" s="16"/>
      <c r="N6" s="16"/>
      <c r="S6" s="16"/>
    </row>
    <row r="7" s="3" customFormat="1" spans="3:19">
      <c r="C7" s="16"/>
      <c r="D7" s="16"/>
      <c r="G7" s="17"/>
      <c r="K7" s="16"/>
      <c r="L7" s="16"/>
      <c r="M7" s="16"/>
      <c r="N7" s="16"/>
      <c r="S7" s="16"/>
    </row>
    <row r="8" s="3" customFormat="1" spans="3:19">
      <c r="C8" s="16"/>
      <c r="D8" s="16"/>
      <c r="G8" s="17"/>
      <c r="K8" s="16"/>
      <c r="L8" s="16"/>
      <c r="M8" s="16"/>
      <c r="N8" s="16"/>
      <c r="S8" s="16"/>
    </row>
    <row r="9" s="3" customFormat="1" spans="3:19">
      <c r="C9" s="16"/>
      <c r="D9" s="16"/>
      <c r="G9" s="17"/>
      <c r="K9" s="16"/>
      <c r="L9" s="16"/>
      <c r="M9" s="16"/>
      <c r="N9" s="16"/>
      <c r="S9" s="16"/>
    </row>
  </sheetData>
  <mergeCells count="1">
    <mergeCell ref="A1:S1"/>
  </mergeCells>
  <conditionalFormatting sqref="K5">
    <cfRule type="expression" dxfId="0" priority="3">
      <formula>OR($K5="延期",AND(#REF!="严重",$K5=""))</formula>
    </cfRule>
    <cfRule type="expression" dxfId="1" priority="4">
      <formula>$K5="已完成"</formula>
    </cfRule>
  </conditionalFormatting>
  <conditionalFormatting sqref="L5">
    <cfRule type="expression" dxfId="0" priority="1">
      <formula>OR($K5="延期",AND(#REF!="严重",$K5=""))</formula>
    </cfRule>
    <cfRule type="expression" dxfId="1" priority="2">
      <formula>$K5="已完成"</formula>
    </cfRule>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11</vt:i4>
      </vt:variant>
    </vt:vector>
  </HeadingPairs>
  <TitlesOfParts>
    <vt:vector size="11" baseType="lpstr">
      <vt:lpstr>客服现场跟进设备问题分析</vt:lpstr>
      <vt:lpstr>汇总</vt:lpstr>
      <vt:lpstr>客户</vt:lpstr>
      <vt:lpstr>采购</vt:lpstr>
      <vt:lpstr>生产</vt:lpstr>
      <vt:lpstr>电气</vt:lpstr>
      <vt:lpstr>测试</vt:lpstr>
      <vt:lpstr>机械</vt:lpstr>
      <vt:lpstr>PMC</vt:lpstr>
      <vt:lpstr>销售</vt:lpstr>
      <vt:lpstr>研发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yixing_luo@163.com</dc:creator>
  <cp:lastModifiedBy>Q房网 梁丽萍 15914689720</cp:lastModifiedBy>
  <dcterms:created xsi:type="dcterms:W3CDTF">2024-03-01T06:46:00Z</dcterms:created>
  <dcterms:modified xsi:type="dcterms:W3CDTF">2025-10-23T02:06:36Z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344C613F25FA48BFB19651EAD57A5478_13</vt:lpwstr>
  </property>
  <property fmtid="{D5CDD505-2E9C-101B-9397-08002B2CF9AE}" pid="3" name="KSOProductBuildVer">
    <vt:lpwstr>2052-12.1.0.23125</vt:lpwstr>
  </property>
</Properties>
</file>